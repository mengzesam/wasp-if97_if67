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hisWorkbook"/>
  <xr:revisionPtr revIDLastSave="0" documentId="13_ncr:1_{653B19EF-4FD8-4982-88FB-D93DAE2E333D}" xr6:coauthVersionLast="40" xr6:coauthVersionMax="40" xr10:uidLastSave="{00000000-0000-0000-0000-000000000000}"/>
  <bookViews>
    <workbookView xWindow="0" yWindow="0" windowWidth="22260" windowHeight="12645" activeTab="1" xr2:uid="{00000000-000D-0000-FFFF-FFFF00000000}"/>
  </bookViews>
  <sheets>
    <sheet name="Bspline-Coefficients" sheetId="1" r:id="rId1"/>
    <sheet name="calcBSpline" sheetId="2" r:id="rId2"/>
    <sheet name="Sheet1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7" i="2" l="1"/>
  <c r="G58" i="2" s="1"/>
  <c r="G59" i="2" s="1"/>
  <c r="G56" i="2"/>
  <c r="B5" i="1" l="1"/>
  <c r="B5" i="2" s="1"/>
  <c r="B6" i="1"/>
  <c r="B7" i="1" s="1"/>
  <c r="B4" i="1"/>
  <c r="B4" i="2"/>
  <c r="B3" i="2"/>
  <c r="H4" i="2"/>
  <c r="G3" i="1"/>
  <c r="I4" i="2"/>
  <c r="G4" i="1"/>
  <c r="G5" i="1"/>
  <c r="B7" i="2" l="1"/>
  <c r="B8" i="1"/>
  <c r="B6" i="2"/>
  <c r="C6" i="2" s="1"/>
  <c r="C4" i="2"/>
  <c r="C3" i="2"/>
  <c r="C5" i="2"/>
  <c r="B9" i="1"/>
  <c r="G7" i="1"/>
  <c r="F4" i="1"/>
  <c r="F7" i="1"/>
  <c r="G6" i="1"/>
  <c r="E6" i="1"/>
  <c r="F3" i="1"/>
  <c r="F5" i="1"/>
  <c r="E7" i="1"/>
  <c r="F6" i="1"/>
  <c r="E5" i="1"/>
  <c r="E3" i="1"/>
  <c r="E4" i="1"/>
  <c r="B8" i="2" l="1"/>
  <c r="C7" i="2"/>
  <c r="B10" i="1"/>
  <c r="B9" i="2"/>
  <c r="F8" i="1"/>
  <c r="E8" i="1"/>
  <c r="G8" i="1"/>
  <c r="C8" i="2" l="1"/>
  <c r="B11" i="1"/>
  <c r="B10" i="2"/>
  <c r="I3" i="1"/>
  <c r="H3" i="1"/>
  <c r="F9" i="1"/>
  <c r="G9" i="1"/>
  <c r="E9" i="1"/>
  <c r="C9" i="2" l="1"/>
  <c r="J3" i="1"/>
  <c r="G3" i="2" s="1"/>
  <c r="B12" i="1"/>
  <c r="I9" i="1" s="1"/>
  <c r="B11" i="2"/>
  <c r="H4" i="1"/>
  <c r="I4" i="1"/>
  <c r="H5" i="1"/>
  <c r="I5" i="1"/>
  <c r="H6" i="1"/>
  <c r="I6" i="1"/>
  <c r="H7" i="1"/>
  <c r="I7" i="1"/>
  <c r="H8" i="1"/>
  <c r="I8" i="1"/>
  <c r="H9" i="1"/>
  <c r="C8" i="1"/>
  <c r="C4" i="1"/>
  <c r="C5" i="1"/>
  <c r="C6" i="1"/>
  <c r="C7" i="1"/>
  <c r="C3" i="1"/>
  <c r="G10" i="1"/>
  <c r="D5" i="1"/>
  <c r="D6" i="1"/>
  <c r="F10" i="1"/>
  <c r="D3" i="1"/>
  <c r="E10" i="1"/>
  <c r="J9" i="1" l="1"/>
  <c r="G9" i="2" s="1"/>
  <c r="C9" i="1"/>
  <c r="H10" i="1"/>
  <c r="J7" i="1"/>
  <c r="G7" i="2" s="1"/>
  <c r="J5" i="1"/>
  <c r="G5" i="2" s="1"/>
  <c r="C10" i="2"/>
  <c r="B13" i="1"/>
  <c r="B12" i="2"/>
  <c r="C11" i="2" s="1"/>
  <c r="E11" i="1"/>
  <c r="D4" i="1"/>
  <c r="G11" i="1"/>
  <c r="D9" i="1"/>
  <c r="D7" i="1"/>
  <c r="F11" i="1"/>
  <c r="D8" i="1"/>
  <c r="B14" i="1" l="1"/>
  <c r="B13" i="2"/>
  <c r="H11" i="1"/>
  <c r="C10" i="1"/>
  <c r="C11" i="1"/>
  <c r="I10" i="1"/>
  <c r="J10" i="1"/>
  <c r="G10" i="2" s="1"/>
  <c r="J8" i="1"/>
  <c r="G8" i="2" s="1"/>
  <c r="J6" i="1"/>
  <c r="G6" i="2" s="1"/>
  <c r="J4" i="1"/>
  <c r="G4" i="2" s="1"/>
  <c r="G12" i="1"/>
  <c r="E12" i="1"/>
  <c r="D11" i="1"/>
  <c r="F12" i="1"/>
  <c r="D10" i="1"/>
  <c r="C12" i="2" l="1"/>
  <c r="B15" i="1"/>
  <c r="B14" i="2"/>
  <c r="I11" i="1"/>
  <c r="J11" i="1" s="1"/>
  <c r="G11" i="2" s="1"/>
  <c r="H12" i="1"/>
  <c r="F13" i="1"/>
  <c r="E13" i="1"/>
  <c r="G13" i="1"/>
  <c r="C13" i="2" l="1"/>
  <c r="B15" i="2"/>
  <c r="B16" i="1"/>
  <c r="C13" i="1" s="1"/>
  <c r="H13" i="1"/>
  <c r="I12" i="1"/>
  <c r="J12" i="1" s="1"/>
  <c r="G12" i="2" s="1"/>
  <c r="C12" i="1"/>
  <c r="G14" i="1"/>
  <c r="D12" i="1"/>
  <c r="F14" i="1"/>
  <c r="D13" i="1"/>
  <c r="E14" i="1"/>
  <c r="C14" i="2" l="1"/>
  <c r="B16" i="2"/>
  <c r="B17" i="1"/>
  <c r="I13" i="1"/>
  <c r="J13" i="1" s="1"/>
  <c r="G13" i="2" s="1"/>
  <c r="H14" i="1"/>
  <c r="E15" i="1"/>
  <c r="F15" i="1"/>
  <c r="G15" i="1"/>
  <c r="C15" i="2" l="1"/>
  <c r="B18" i="1"/>
  <c r="B17" i="2"/>
  <c r="H15" i="1"/>
  <c r="I14" i="1"/>
  <c r="J14" i="1" s="1"/>
  <c r="G14" i="2" s="1"/>
  <c r="C14" i="1"/>
  <c r="D14" i="1"/>
  <c r="E16" i="1"/>
  <c r="G16" i="1"/>
  <c r="F16" i="1"/>
  <c r="C16" i="2" l="1"/>
  <c r="B19" i="1"/>
  <c r="H16" i="1"/>
  <c r="B18" i="2"/>
  <c r="I15" i="1"/>
  <c r="J15" i="1" s="1"/>
  <c r="G15" i="2" s="1"/>
  <c r="C15" i="1"/>
  <c r="F17" i="1"/>
  <c r="D15" i="1"/>
  <c r="E17" i="1"/>
  <c r="G17" i="1"/>
  <c r="C17" i="2" l="1"/>
  <c r="B20" i="1"/>
  <c r="B19" i="2"/>
  <c r="H17" i="1"/>
  <c r="I16" i="1"/>
  <c r="J16" i="1" s="1"/>
  <c r="G16" i="2" s="1"/>
  <c r="C16" i="1"/>
  <c r="C17" i="1"/>
  <c r="G18" i="1"/>
  <c r="E18" i="1"/>
  <c r="D17" i="1"/>
  <c r="D16" i="1"/>
  <c r="F18" i="1"/>
  <c r="C18" i="2" l="1"/>
  <c r="B21" i="1"/>
  <c r="H18" i="1"/>
  <c r="B20" i="2"/>
  <c r="I17" i="1"/>
  <c r="J17" i="1" s="1"/>
  <c r="G17" i="2" s="1"/>
  <c r="C18" i="1"/>
  <c r="G19" i="1"/>
  <c r="F19" i="1"/>
  <c r="D18" i="1"/>
  <c r="E19" i="1"/>
  <c r="C19" i="2" l="1"/>
  <c r="B22" i="1"/>
  <c r="I18" i="1"/>
  <c r="J18" i="1" s="1"/>
  <c r="G18" i="2" s="1"/>
  <c r="B21" i="2"/>
  <c r="H19" i="1"/>
  <c r="E20" i="1"/>
  <c r="F20" i="1"/>
  <c r="G20" i="1"/>
  <c r="C20" i="2" l="1"/>
  <c r="B23" i="1"/>
  <c r="B22" i="2"/>
  <c r="I19" i="1"/>
  <c r="J19" i="1" s="1"/>
  <c r="G19" i="2" s="1"/>
  <c r="H20" i="1"/>
  <c r="C19" i="1"/>
  <c r="F21" i="1"/>
  <c r="G21" i="1"/>
  <c r="D19" i="1"/>
  <c r="E21" i="1"/>
  <c r="C21" i="2" l="1"/>
  <c r="B24" i="1"/>
  <c r="B23" i="2"/>
  <c r="H21" i="1"/>
  <c r="I20" i="1"/>
  <c r="J20" i="1" s="1"/>
  <c r="G20" i="2" s="1"/>
  <c r="C20" i="1"/>
  <c r="C21" i="1"/>
  <c r="G22" i="1"/>
  <c r="D20" i="1"/>
  <c r="E22" i="1"/>
  <c r="F22" i="1"/>
  <c r="D21" i="1"/>
  <c r="C22" i="2" l="1"/>
  <c r="B25" i="1"/>
  <c r="H22" i="1"/>
  <c r="B24" i="2"/>
  <c r="I21" i="1"/>
  <c r="J21" i="1" s="1"/>
  <c r="G21" i="2" s="1"/>
  <c r="F23" i="1"/>
  <c r="G23" i="1"/>
  <c r="E23" i="1"/>
  <c r="C23" i="2" l="1"/>
  <c r="B26" i="1"/>
  <c r="I22" i="1"/>
  <c r="J22" i="1" s="1"/>
  <c r="G22" i="2" s="1"/>
  <c r="H23" i="1"/>
  <c r="B25" i="2"/>
  <c r="C22" i="1"/>
  <c r="F24" i="1"/>
  <c r="D22" i="1"/>
  <c r="E24" i="1"/>
  <c r="G24" i="1"/>
  <c r="C24" i="2" l="1"/>
  <c r="B27" i="1"/>
  <c r="B26" i="2"/>
  <c r="I23" i="1"/>
  <c r="J23" i="1" s="1"/>
  <c r="G23" i="2" s="1"/>
  <c r="H24" i="1"/>
  <c r="C23" i="1"/>
  <c r="C24" i="1"/>
  <c r="E25" i="1"/>
  <c r="D24" i="1"/>
  <c r="G25" i="1"/>
  <c r="F25" i="1"/>
  <c r="D23" i="1"/>
  <c r="C25" i="2" l="1"/>
  <c r="B28" i="1"/>
  <c r="B27" i="2"/>
  <c r="H25" i="1"/>
  <c r="I24" i="1"/>
  <c r="J24" i="1" s="1"/>
  <c r="G24" i="2" s="1"/>
  <c r="C25" i="1"/>
  <c r="D25" i="1"/>
  <c r="G26" i="1"/>
  <c r="F26" i="1"/>
  <c r="E26" i="1"/>
  <c r="C26" i="2" l="1"/>
  <c r="B29" i="1"/>
  <c r="B28" i="2"/>
  <c r="I25" i="1"/>
  <c r="J25" i="1" s="1"/>
  <c r="G25" i="2" s="1"/>
  <c r="H26" i="1"/>
  <c r="C26" i="1"/>
  <c r="E27" i="1"/>
  <c r="G27" i="1"/>
  <c r="D26" i="1"/>
  <c r="F27" i="1"/>
  <c r="C27" i="2" l="1"/>
  <c r="B30" i="1"/>
  <c r="I26" i="1"/>
  <c r="J26" i="1" s="1"/>
  <c r="G26" i="2" s="1"/>
  <c r="H27" i="1"/>
  <c r="B29" i="2"/>
  <c r="F28" i="1"/>
  <c r="G28" i="1"/>
  <c r="E28" i="1"/>
  <c r="C28" i="2" l="1"/>
  <c r="B31" i="1"/>
  <c r="B30" i="2"/>
  <c r="H28" i="1"/>
  <c r="I27" i="1"/>
  <c r="J27" i="1" s="1"/>
  <c r="G27" i="2" s="1"/>
  <c r="C27" i="1"/>
  <c r="D27" i="1"/>
  <c r="E29" i="1"/>
  <c r="G29" i="1"/>
  <c r="F29" i="1"/>
  <c r="C29" i="2" l="1"/>
  <c r="B32" i="1"/>
  <c r="H29" i="1"/>
  <c r="B31" i="2"/>
  <c r="I28" i="1"/>
  <c r="J28" i="1" s="1"/>
  <c r="G28" i="2" s="1"/>
  <c r="C28" i="1"/>
  <c r="D28" i="1"/>
  <c r="E30" i="1"/>
  <c r="G30" i="1"/>
  <c r="F30" i="1"/>
  <c r="C30" i="2" l="1"/>
  <c r="B33" i="1"/>
  <c r="I29" i="1"/>
  <c r="J29" i="1" s="1"/>
  <c r="G29" i="2" s="1"/>
  <c r="B32" i="2"/>
  <c r="H30" i="1"/>
  <c r="C29" i="1"/>
  <c r="F31" i="1"/>
  <c r="D29" i="1"/>
  <c r="G31" i="1"/>
  <c r="E31" i="1"/>
  <c r="C31" i="2" l="1"/>
  <c r="B34" i="1"/>
  <c r="I30" i="1"/>
  <c r="J30" i="1" s="1"/>
  <c r="G30" i="2" s="1"/>
  <c r="H31" i="1"/>
  <c r="B33" i="2"/>
  <c r="C33" i="2" s="1"/>
  <c r="C30" i="1"/>
  <c r="F32" i="1"/>
  <c r="D30" i="1"/>
  <c r="E32" i="1"/>
  <c r="G32" i="1"/>
  <c r="C32" i="2" l="1"/>
  <c r="B35" i="1"/>
  <c r="B34" i="2"/>
  <c r="C34" i="2" s="1"/>
  <c r="H32" i="1"/>
  <c r="I31" i="1"/>
  <c r="J31" i="1" s="1"/>
  <c r="G31" i="2" s="1"/>
  <c r="C31" i="1"/>
  <c r="G33" i="1"/>
  <c r="E33" i="1"/>
  <c r="F33" i="1"/>
  <c r="D31" i="1"/>
  <c r="B36" i="1" l="1"/>
  <c r="H33" i="1"/>
  <c r="B35" i="2"/>
  <c r="C35" i="2" s="1"/>
  <c r="I32" i="1"/>
  <c r="J32" i="1" s="1"/>
  <c r="G32" i="2" s="1"/>
  <c r="C32" i="1"/>
  <c r="D32" i="1"/>
  <c r="F34" i="1"/>
  <c r="G34" i="1"/>
  <c r="E34" i="1"/>
  <c r="B37" i="1" l="1"/>
  <c r="I33" i="1"/>
  <c r="J33" i="1" s="1"/>
  <c r="G33" i="2" s="1"/>
  <c r="B36" i="2"/>
  <c r="C36" i="2" s="1"/>
  <c r="H34" i="1"/>
  <c r="C33" i="1"/>
  <c r="F35" i="1"/>
  <c r="G35" i="1"/>
  <c r="D33" i="1"/>
  <c r="E35" i="1"/>
  <c r="B38" i="1" l="1"/>
  <c r="I34" i="1"/>
  <c r="J34" i="1" s="1"/>
  <c r="G34" i="2" s="1"/>
  <c r="H35" i="1"/>
  <c r="B37" i="2"/>
  <c r="C37" i="2" s="1"/>
  <c r="C34" i="1"/>
  <c r="D34" i="1"/>
  <c r="F36" i="1"/>
  <c r="E36" i="1"/>
  <c r="G36" i="1"/>
  <c r="B39" i="1" l="1"/>
  <c r="B38" i="2"/>
  <c r="C38" i="2" s="1"/>
  <c r="H36" i="1"/>
  <c r="I35" i="1"/>
  <c r="J35" i="1" s="1"/>
  <c r="G35" i="2" s="1"/>
  <c r="C35" i="1"/>
  <c r="G37" i="1"/>
  <c r="D35" i="1"/>
  <c r="E37" i="1"/>
  <c r="F37" i="1"/>
  <c r="B40" i="1" l="1"/>
  <c r="H37" i="1"/>
  <c r="B39" i="2"/>
  <c r="C39" i="2" s="1"/>
  <c r="I36" i="1"/>
  <c r="J36" i="1" s="1"/>
  <c r="G36" i="2" s="1"/>
  <c r="C36" i="1"/>
  <c r="D36" i="1"/>
  <c r="F38" i="1"/>
  <c r="E38" i="1"/>
  <c r="G38" i="1"/>
  <c r="B41" i="1" l="1"/>
  <c r="I37" i="1"/>
  <c r="J37" i="1" s="1"/>
  <c r="G37" i="2" s="1"/>
  <c r="B40" i="2"/>
  <c r="C40" i="2" s="1"/>
  <c r="H38" i="1"/>
  <c r="C37" i="1"/>
  <c r="D37" i="1"/>
  <c r="E39" i="1"/>
  <c r="G39" i="1"/>
  <c r="F39" i="1"/>
  <c r="B42" i="1" l="1"/>
  <c r="I38" i="1"/>
  <c r="J38" i="1" s="1"/>
  <c r="G38" i="2" s="1"/>
  <c r="H39" i="1"/>
  <c r="B41" i="2"/>
  <c r="C41" i="2" s="1"/>
  <c r="C38" i="1"/>
  <c r="D38" i="1"/>
  <c r="F40" i="1"/>
  <c r="E40" i="1"/>
  <c r="G40" i="1"/>
  <c r="B43" i="1" l="1"/>
  <c r="B42" i="2"/>
  <c r="C42" i="2" s="1"/>
  <c r="H40" i="1"/>
  <c r="I39" i="1"/>
  <c r="J39" i="1" s="1"/>
  <c r="G39" i="2" s="1"/>
  <c r="C39" i="1"/>
  <c r="D39" i="1"/>
  <c r="F41" i="1"/>
  <c r="E41" i="1"/>
  <c r="G41" i="1"/>
  <c r="B44" i="1" l="1"/>
  <c r="H41" i="1"/>
  <c r="B43" i="2"/>
  <c r="C43" i="2" s="1"/>
  <c r="I40" i="1"/>
  <c r="J40" i="1" s="1"/>
  <c r="G40" i="2" s="1"/>
  <c r="C40" i="1"/>
  <c r="C41" i="1"/>
  <c r="G42" i="1"/>
  <c r="D41" i="1"/>
  <c r="F42" i="1"/>
  <c r="D40" i="1"/>
  <c r="E42" i="1"/>
  <c r="B45" i="1" l="1"/>
  <c r="I41" i="1"/>
  <c r="J41" i="1" s="1"/>
  <c r="G41" i="2" s="1"/>
  <c r="B44" i="2"/>
  <c r="C44" i="2" s="1"/>
  <c r="H42" i="1"/>
  <c r="E43" i="1"/>
  <c r="G43" i="1"/>
  <c r="F43" i="1"/>
  <c r="B46" i="1" l="1"/>
  <c r="I42" i="1"/>
  <c r="J42" i="1" s="1"/>
  <c r="G42" i="2" s="1"/>
  <c r="H43" i="1"/>
  <c r="B45" i="2"/>
  <c r="C45" i="2" s="1"/>
  <c r="C42" i="1"/>
  <c r="D42" i="1"/>
  <c r="G44" i="1"/>
  <c r="F44" i="1"/>
  <c r="E44" i="1"/>
  <c r="B47" i="1" l="1"/>
  <c r="B46" i="2"/>
  <c r="C46" i="2" s="1"/>
  <c r="H44" i="1"/>
  <c r="I43" i="1"/>
  <c r="J43" i="1" s="1"/>
  <c r="G43" i="2" s="1"/>
  <c r="C43" i="1"/>
  <c r="F45" i="1"/>
  <c r="E45" i="1"/>
  <c r="G45" i="1"/>
  <c r="D43" i="1"/>
  <c r="B48" i="1" l="1"/>
  <c r="H45" i="1"/>
  <c r="B47" i="2"/>
  <c r="C47" i="2" s="1"/>
  <c r="I44" i="1"/>
  <c r="J44" i="1" s="1"/>
  <c r="G44" i="2" s="1"/>
  <c r="C44" i="1"/>
  <c r="C45" i="1"/>
  <c r="F46" i="1"/>
  <c r="E46" i="1"/>
  <c r="G46" i="1"/>
  <c r="D45" i="1"/>
  <c r="D44" i="1"/>
  <c r="B49" i="1" l="1"/>
  <c r="H46" i="1"/>
  <c r="I45" i="1"/>
  <c r="J45" i="1" s="1"/>
  <c r="G45" i="2" s="1"/>
  <c r="B48" i="2"/>
  <c r="C48" i="2" s="1"/>
  <c r="E47" i="1"/>
  <c r="G47" i="1"/>
  <c r="F47" i="1"/>
  <c r="B50" i="1" l="1"/>
  <c r="I46" i="1"/>
  <c r="J46" i="1" s="1"/>
  <c r="G46" i="2" s="1"/>
  <c r="H47" i="1"/>
  <c r="B49" i="2"/>
  <c r="C49" i="2" s="1"/>
  <c r="C46" i="1"/>
  <c r="F48" i="1"/>
  <c r="E48" i="1"/>
  <c r="D46" i="1"/>
  <c r="G48" i="1"/>
  <c r="B51" i="1" l="1"/>
  <c r="B50" i="2"/>
  <c r="C50" i="2" s="1"/>
  <c r="I47" i="1"/>
  <c r="J47" i="1" s="1"/>
  <c r="G47" i="2" s="1"/>
  <c r="H48" i="1"/>
  <c r="C47" i="1"/>
  <c r="D47" i="1"/>
  <c r="G49" i="1"/>
  <c r="F49" i="1"/>
  <c r="E49" i="1"/>
  <c r="B52" i="1" l="1"/>
  <c r="B51" i="2"/>
  <c r="C51" i="2" s="1"/>
  <c r="H49" i="1"/>
  <c r="I48" i="1"/>
  <c r="J48" i="1" s="1"/>
  <c r="G48" i="2" s="1"/>
  <c r="C48" i="1"/>
  <c r="C49" i="1"/>
  <c r="F50" i="1"/>
  <c r="D48" i="1"/>
  <c r="E50" i="1"/>
  <c r="G50" i="1"/>
  <c r="D49" i="1"/>
  <c r="B53" i="1" l="1"/>
  <c r="H50" i="1"/>
  <c r="B52" i="2"/>
  <c r="C52" i="2" s="1"/>
  <c r="I49" i="1"/>
  <c r="J49" i="1" s="1"/>
  <c r="G49" i="2" s="1"/>
  <c r="C50" i="1"/>
  <c r="D50" i="1"/>
  <c r="E51" i="1"/>
  <c r="F51" i="1"/>
  <c r="G51" i="1"/>
  <c r="B54" i="1" l="1"/>
  <c r="I50" i="1"/>
  <c r="J50" i="1" s="1"/>
  <c r="G50" i="2" s="1"/>
  <c r="B53" i="2"/>
  <c r="C53" i="2" s="1"/>
  <c r="H51" i="1"/>
  <c r="G52" i="1"/>
  <c r="F52" i="1"/>
  <c r="E52" i="1"/>
  <c r="B55" i="1" l="1"/>
  <c r="B54" i="2"/>
  <c r="C54" i="2" s="1"/>
  <c r="I51" i="1"/>
  <c r="J51" i="1" s="1"/>
  <c r="G51" i="2" s="1"/>
  <c r="H52" i="1"/>
  <c r="C51" i="1"/>
  <c r="D51" i="1"/>
  <c r="F53" i="1"/>
  <c r="G53" i="1"/>
  <c r="E53" i="1"/>
  <c r="B56" i="1" l="1"/>
  <c r="H53" i="1"/>
  <c r="B55" i="2"/>
  <c r="C55" i="2" s="1"/>
  <c r="I52" i="1"/>
  <c r="J52" i="1" s="1"/>
  <c r="G52" i="2" s="1"/>
  <c r="C52" i="1"/>
  <c r="C53" i="1"/>
  <c r="G54" i="1"/>
  <c r="E54" i="1"/>
  <c r="D52" i="1"/>
  <c r="F54" i="1"/>
  <c r="D53" i="1"/>
  <c r="E33" i="2" l="1"/>
  <c r="D37" i="2"/>
  <c r="D34" i="2"/>
  <c r="E34" i="2" s="1"/>
  <c r="F33" i="2" s="1"/>
  <c r="E38" i="2"/>
  <c r="D26" i="2"/>
  <c r="E54" i="2"/>
  <c r="D10" i="2"/>
  <c r="E10" i="2" s="1"/>
  <c r="F10" i="2" s="1"/>
  <c r="D32" i="2"/>
  <c r="E29" i="2"/>
  <c r="D9" i="2"/>
  <c r="E9" i="2" s="1"/>
  <c r="F9" i="2" s="1"/>
  <c r="D41" i="2"/>
  <c r="E12" i="2"/>
  <c r="D21" i="2"/>
  <c r="D24" i="2"/>
  <c r="D11" i="2"/>
  <c r="D51" i="2"/>
  <c r="D50" i="2"/>
  <c r="E50" i="2" s="1"/>
  <c r="D14" i="2"/>
  <c r="D18" i="2"/>
  <c r="D52" i="2"/>
  <c r="D4" i="2"/>
  <c r="D5" i="2"/>
  <c r="F24" i="2"/>
  <c r="D23" i="2"/>
  <c r="D13" i="2"/>
  <c r="F55" i="2"/>
  <c r="E3" i="2"/>
  <c r="D49" i="2"/>
  <c r="E49" i="2" s="1"/>
  <c r="D27" i="2"/>
  <c r="E27" i="2" s="1"/>
  <c r="F12" i="2"/>
  <c r="E55" i="2"/>
  <c r="D48" i="2"/>
  <c r="D33" i="2"/>
  <c r="E22" i="2"/>
  <c r="D40" i="2"/>
  <c r="E40" i="2" s="1"/>
  <c r="E17" i="2"/>
  <c r="F21" i="2"/>
  <c r="D3" i="2"/>
  <c r="D38" i="2"/>
  <c r="E37" i="2" s="1"/>
  <c r="D39" i="2"/>
  <c r="E26" i="2"/>
  <c r="F26" i="2" s="1"/>
  <c r="D43" i="2"/>
  <c r="E43" i="2" s="1"/>
  <c r="D36" i="2"/>
  <c r="E36" i="2" s="1"/>
  <c r="D42" i="2"/>
  <c r="E41" i="2" s="1"/>
  <c r="D53" i="2"/>
  <c r="E53" i="2" s="1"/>
  <c r="F53" i="2" s="1"/>
  <c r="D16" i="2"/>
  <c r="D28" i="2"/>
  <c r="E28" i="2" s="1"/>
  <c r="F28" i="2" s="1"/>
  <c r="D6" i="2"/>
  <c r="F54" i="2"/>
  <c r="D17" i="2"/>
  <c r="D7" i="2"/>
  <c r="D35" i="2"/>
  <c r="E35" i="2" s="1"/>
  <c r="F35" i="2" s="1"/>
  <c r="E21" i="2"/>
  <c r="D45" i="2"/>
  <c r="D44" i="2"/>
  <c r="D19" i="2"/>
  <c r="E23" i="2"/>
  <c r="D30" i="2"/>
  <c r="E30" i="2" s="1"/>
  <c r="F30" i="2" s="1"/>
  <c r="D55" i="2"/>
  <c r="F23" i="2"/>
  <c r="D22" i="2"/>
  <c r="E42" i="2"/>
  <c r="E24" i="2"/>
  <c r="D8" i="2"/>
  <c r="D20" i="2"/>
  <c r="E20" i="2" s="1"/>
  <c r="F20" i="2" s="1"/>
  <c r="D31" i="2"/>
  <c r="E31" i="2" s="1"/>
  <c r="F31" i="2" s="1"/>
  <c r="F22" i="2"/>
  <c r="D25" i="2"/>
  <c r="D46" i="2"/>
  <c r="E25" i="2"/>
  <c r="F25" i="2" s="1"/>
  <c r="D29" i="2"/>
  <c r="D15" i="2"/>
  <c r="D54" i="2"/>
  <c r="E13" i="2"/>
  <c r="E32" i="2"/>
  <c r="F32" i="2" s="1"/>
  <c r="D47" i="2"/>
  <c r="E47" i="2" s="1"/>
  <c r="D12" i="2"/>
  <c r="E11" i="2" s="1"/>
  <c r="F11" i="2" s="1"/>
  <c r="H54" i="1"/>
  <c r="B56" i="2"/>
  <c r="I53" i="1"/>
  <c r="J53" i="1" s="1"/>
  <c r="G53" i="2" s="1"/>
  <c r="B57" i="1"/>
  <c r="E55" i="1"/>
  <c r="F55" i="1"/>
  <c r="G55" i="1"/>
  <c r="F27" i="2" l="1"/>
  <c r="E8" i="2"/>
  <c r="E52" i="2"/>
  <c r="F52" i="2" s="1"/>
  <c r="E44" i="2"/>
  <c r="E4" i="2"/>
  <c r="F37" i="2"/>
  <c r="E16" i="2"/>
  <c r="F16" i="2" s="1"/>
  <c r="E15" i="2"/>
  <c r="F15" i="2" s="1"/>
  <c r="E14" i="2"/>
  <c r="E48" i="2"/>
  <c r="F48" i="2" s="1"/>
  <c r="F47" i="2"/>
  <c r="E45" i="2"/>
  <c r="E39" i="2"/>
  <c r="F38" i="2" s="1"/>
  <c r="F41" i="2"/>
  <c r="F8" i="2"/>
  <c r="E7" i="2"/>
  <c r="F7" i="2" s="1"/>
  <c r="F3" i="2"/>
  <c r="E6" i="2"/>
  <c r="E5" i="2"/>
  <c r="E51" i="2"/>
  <c r="F51" i="2" s="1"/>
  <c r="F44" i="2"/>
  <c r="E46" i="2"/>
  <c r="F46" i="2" s="1"/>
  <c r="F39" i="2"/>
  <c r="F40" i="2"/>
  <c r="F49" i="2"/>
  <c r="F29" i="2"/>
  <c r="F36" i="2"/>
  <c r="F34" i="2"/>
  <c r="F43" i="2"/>
  <c r="F42" i="2"/>
  <c r="E19" i="2"/>
  <c r="F19" i="2" s="1"/>
  <c r="E18" i="2"/>
  <c r="F17" i="2" s="1"/>
  <c r="F18" i="2"/>
  <c r="I54" i="1"/>
  <c r="J54" i="1" s="1"/>
  <c r="G54" i="2" s="1"/>
  <c r="B57" i="2"/>
  <c r="H55" i="1"/>
  <c r="B58" i="1"/>
  <c r="C55" i="1" s="1"/>
  <c r="C54" i="1"/>
  <c r="D55" i="1"/>
  <c r="D54" i="1"/>
  <c r="F14" i="2" l="1"/>
  <c r="F5" i="2"/>
  <c r="F6" i="2"/>
  <c r="F50" i="2"/>
  <c r="F13" i="2"/>
  <c r="F4" i="2"/>
  <c r="F45" i="2"/>
  <c r="I55" i="1"/>
  <c r="J55" i="1" s="1"/>
  <c r="G55" i="2" s="1"/>
  <c r="B59" i="1"/>
  <c r="B58" i="2"/>
  <c r="I3" i="2" l="1"/>
  <c r="B59" i="2"/>
  <c r="B60" i="1"/>
  <c r="B61" i="1" s="1"/>
  <c r="B62" i="1" s="1"/>
  <c r="B63" i="1" s="1"/>
  <c r="B64" i="1" s="1"/>
  <c r="B65" i="1" s="1"/>
  <c r="B66" i="1" s="1"/>
  <c r="B67" i="1" s="1"/>
  <c r="B68" i="1" s="1"/>
  <c r="B69" i="1" s="1"/>
</calcChain>
</file>

<file path=xl/sharedStrings.xml><?xml version="1.0" encoding="utf-8"?>
<sst xmlns="http://schemas.openxmlformats.org/spreadsheetml/2006/main" count="23" uniqueCount="22">
  <si>
    <t>TAVE(I)</t>
    <phoneticPr fontId="1" type="noConversion"/>
  </si>
  <si>
    <t>F at TAVE(I)</t>
    <phoneticPr fontId="1" type="noConversion"/>
  </si>
  <si>
    <t>Δtj+1</t>
    <phoneticPr fontId="1" type="noConversion"/>
  </si>
  <si>
    <t>Δtj+2</t>
    <phoneticPr fontId="1" type="noConversion"/>
  </si>
  <si>
    <t>f(tj)</t>
    <phoneticPr fontId="1" type="noConversion"/>
  </si>
  <si>
    <t>Knot tj</t>
    <phoneticPr fontId="1" type="noConversion"/>
  </si>
  <si>
    <t>j</t>
    <phoneticPr fontId="1" type="noConversion"/>
  </si>
  <si>
    <t>f'(tj)</t>
    <phoneticPr fontId="1" type="noConversion"/>
  </si>
  <si>
    <t>f''(tj)</t>
    <phoneticPr fontId="1" type="noConversion"/>
  </si>
  <si>
    <t>BCOEF αj</t>
    <phoneticPr fontId="1" type="noConversion"/>
  </si>
  <si>
    <t>tj</t>
    <phoneticPr fontId="1" type="noConversion"/>
  </si>
  <si>
    <t>j</t>
    <phoneticPr fontId="1" type="noConversion"/>
  </si>
  <si>
    <t>B1</t>
    <phoneticPr fontId="1" type="noConversion"/>
  </si>
  <si>
    <t>B2</t>
    <phoneticPr fontId="1" type="noConversion"/>
  </si>
  <si>
    <t>B3</t>
    <phoneticPr fontId="1" type="noConversion"/>
  </si>
  <si>
    <t>B4</t>
    <phoneticPr fontId="1" type="noConversion"/>
  </si>
  <si>
    <t>BSpline evaluate y</t>
    <phoneticPr fontId="1" type="noConversion"/>
  </si>
  <si>
    <t>Δ</t>
  </si>
  <si>
    <t>xv</t>
    <phoneticPr fontId="1" type="noConversion"/>
  </si>
  <si>
    <t>f=exp(xv)+2*xv*xv</t>
    <phoneticPr fontId="1" type="noConversion"/>
  </si>
  <si>
    <t>f=exp(xv)+4*xv</t>
    <phoneticPr fontId="1" type="noConversion"/>
  </si>
  <si>
    <t>f=exp(xv)+4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</si>
</sst>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"/>
    <numFmt numFmtId="181" formatCode="0.00000000000"/>
    <numFmt numFmtId="182" formatCode="0.000000000000"/>
    <numFmt numFmtId="184" formatCode="0.00000000000000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76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176" fontId="0" fillId="0" borderId="0" xfId="0" applyNumberFormat="1" applyFill="1"/>
    <xf numFmtId="181" fontId="0" fillId="0" borderId="0" xfId="0" applyNumberFormat="1"/>
    <xf numFmtId="182" fontId="0" fillId="0" borderId="0" xfId="0" applyNumberFormat="1"/>
    <xf numFmtId="184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9"/>
  <sheetViews>
    <sheetView zoomScale="115" zoomScaleNormal="115" workbookViewId="0">
      <selection activeCell="E8" sqref="E8"/>
    </sheetView>
  </sheetViews>
  <sheetFormatPr defaultRowHeight="14.25" x14ac:dyDescent="0.2"/>
  <cols>
    <col min="3" max="3" width="8.125" customWidth="1"/>
    <col min="4" max="4" width="10.375" customWidth="1"/>
    <col min="5" max="5" width="16.875" bestFit="1" customWidth="1"/>
    <col min="6" max="6" width="14.125" bestFit="1" customWidth="1"/>
    <col min="7" max="7" width="12.125" bestFit="1" customWidth="1"/>
  </cols>
  <sheetData>
    <row r="1" spans="1:10" x14ac:dyDescent="0.2">
      <c r="A1" s="4" t="s">
        <v>17</v>
      </c>
      <c r="B1">
        <v>0.2</v>
      </c>
      <c r="E1" t="s">
        <v>19</v>
      </c>
      <c r="F1" t="s">
        <v>20</v>
      </c>
      <c r="G1" t="s">
        <v>21</v>
      </c>
    </row>
    <row r="2" spans="1:10" x14ac:dyDescent="0.2">
      <c r="A2" t="s">
        <v>6</v>
      </c>
      <c r="B2" t="s">
        <v>5</v>
      </c>
      <c r="C2" t="s">
        <v>0</v>
      </c>
      <c r="D2" t="s">
        <v>1</v>
      </c>
      <c r="E2" t="s">
        <v>4</v>
      </c>
      <c r="F2" t="s">
        <v>7</v>
      </c>
      <c r="G2" t="s">
        <v>8</v>
      </c>
      <c r="H2" s="2" t="s">
        <v>2</v>
      </c>
      <c r="I2" s="2" t="s">
        <v>3</v>
      </c>
      <c r="J2" t="s">
        <v>9</v>
      </c>
    </row>
    <row r="3" spans="1:10" x14ac:dyDescent="0.2">
      <c r="A3">
        <v>1</v>
      </c>
      <c r="B3">
        <v>1</v>
      </c>
      <c r="C3">
        <f>(B4+B5+B6)/3</f>
        <v>1</v>
      </c>
      <c r="D3">
        <f t="shared" ref="D3:D34" si="0">evalFun(E$1,$C3,"xv")</f>
        <v>4.7182818284590446</v>
      </c>
      <c r="E3" s="1">
        <f t="shared" ref="E3:G22" si="1">evalFun(E$1,$B5,"xv")</f>
        <v>4.7182818284590446</v>
      </c>
      <c r="F3" s="1">
        <f t="shared" si="1"/>
        <v>6.7182818284590446</v>
      </c>
      <c r="G3" s="1">
        <f t="shared" si="1"/>
        <v>6.7182818284590446</v>
      </c>
      <c r="H3">
        <f t="shared" ref="H3:H34" si="2">B5-B4</f>
        <v>0</v>
      </c>
      <c r="I3">
        <f t="shared" ref="I3:I34" si="3">B6-B5</f>
        <v>0</v>
      </c>
      <c r="J3">
        <f>E3+1/3*(I3-H3)*F3-1/3*(H3*I3)*G3/2</f>
        <v>4.7182818284590446</v>
      </c>
    </row>
    <row r="4" spans="1:10" x14ac:dyDescent="0.2">
      <c r="A4">
        <v>2</v>
      </c>
      <c r="B4">
        <f>B3</f>
        <v>1</v>
      </c>
      <c r="C4">
        <f t="shared" ref="C4:C15" si="4">(B5+B6+B7)/3</f>
        <v>1.0666666666666667</v>
      </c>
      <c r="D4">
        <f t="shared" si="0"/>
        <v>5.1812333024375814</v>
      </c>
      <c r="E4" s="1">
        <f t="shared" si="1"/>
        <v>4.7182818284590446</v>
      </c>
      <c r="F4" s="1">
        <f t="shared" si="1"/>
        <v>6.7182818284590446</v>
      </c>
      <c r="G4" s="1">
        <f t="shared" si="1"/>
        <v>6.7182818284590446</v>
      </c>
      <c r="H4">
        <f t="shared" si="2"/>
        <v>0</v>
      </c>
      <c r="I4">
        <f t="shared" si="3"/>
        <v>0.19999999999999996</v>
      </c>
      <c r="J4">
        <f t="shared" ref="J4:J15" si="5">E4+1/3*(I4-H4)*F4-1/3*(H4*I4)*G4/2</f>
        <v>5.1661672836896475</v>
      </c>
    </row>
    <row r="5" spans="1:10" x14ac:dyDescent="0.2">
      <c r="A5">
        <v>3</v>
      </c>
      <c r="B5">
        <f t="shared" ref="B5:B6" si="6">B4</f>
        <v>1</v>
      </c>
      <c r="C5">
        <f t="shared" si="4"/>
        <v>1.2</v>
      </c>
      <c r="D5">
        <f t="shared" si="0"/>
        <v>6.2001169227365471</v>
      </c>
      <c r="E5" s="1">
        <f t="shared" si="1"/>
        <v>6.2001169227365471</v>
      </c>
      <c r="F5" s="1">
        <f t="shared" si="1"/>
        <v>8.1201169227365462</v>
      </c>
      <c r="G5" s="1">
        <f t="shared" si="1"/>
        <v>7.3201169227365472</v>
      </c>
      <c r="H5">
        <f t="shared" si="2"/>
        <v>0.19999999999999996</v>
      </c>
      <c r="I5">
        <f t="shared" si="3"/>
        <v>0.19999999999999996</v>
      </c>
      <c r="J5">
        <f t="shared" si="5"/>
        <v>6.1513161432516368</v>
      </c>
    </row>
    <row r="6" spans="1:10" x14ac:dyDescent="0.2">
      <c r="A6" s="5">
        <v>4</v>
      </c>
      <c r="B6">
        <f t="shared" si="6"/>
        <v>1</v>
      </c>
      <c r="C6" s="5">
        <f t="shared" si="4"/>
        <v>1.3999999999999997</v>
      </c>
      <c r="D6" s="5">
        <f t="shared" si="0"/>
        <v>7.9751999668446736</v>
      </c>
      <c r="E6" s="6">
        <f t="shared" si="1"/>
        <v>7.9751999668446736</v>
      </c>
      <c r="F6" s="6">
        <f t="shared" si="1"/>
        <v>9.6551999668446733</v>
      </c>
      <c r="G6" s="1">
        <f t="shared" si="1"/>
        <v>8.0551999668446754</v>
      </c>
      <c r="H6" s="5">
        <f t="shared" si="2"/>
        <v>0.19999999999999996</v>
      </c>
      <c r="I6" s="5">
        <f t="shared" si="3"/>
        <v>0.19999999999999996</v>
      </c>
      <c r="J6" s="5">
        <f t="shared" si="5"/>
        <v>7.9214986337323756</v>
      </c>
    </row>
    <row r="7" spans="1:10" s="5" customFormat="1" x14ac:dyDescent="0.2">
      <c r="A7">
        <v>5</v>
      </c>
      <c r="B7">
        <f>B6+$B$1</f>
        <v>1.2</v>
      </c>
      <c r="C7">
        <f t="shared" si="4"/>
        <v>1.5999999999999999</v>
      </c>
      <c r="D7">
        <f t="shared" si="0"/>
        <v>10.073032424395116</v>
      </c>
      <c r="E7" s="1">
        <f t="shared" si="1"/>
        <v>10.073032424395116</v>
      </c>
      <c r="F7" s="1">
        <f t="shared" si="1"/>
        <v>11.353032424395115</v>
      </c>
      <c r="G7" s="1">
        <f t="shared" si="1"/>
        <v>8.9530324243951149</v>
      </c>
      <c r="H7">
        <f t="shared" si="2"/>
        <v>0.19999999999999996</v>
      </c>
      <c r="I7">
        <f t="shared" si="3"/>
        <v>0.19999999999999996</v>
      </c>
      <c r="J7">
        <f t="shared" si="5"/>
        <v>10.013345541565815</v>
      </c>
    </row>
    <row r="8" spans="1:10" x14ac:dyDescent="0.2">
      <c r="A8">
        <v>6</v>
      </c>
      <c r="B8">
        <f t="shared" ref="B8:B18" si="7">B7+$B$1</f>
        <v>1.4</v>
      </c>
      <c r="C8">
        <f t="shared" si="4"/>
        <v>1.7999999999999998</v>
      </c>
      <c r="D8">
        <f t="shared" si="0"/>
        <v>12.529647464412946</v>
      </c>
      <c r="E8" s="1">
        <f t="shared" si="1"/>
        <v>12.529647464412946</v>
      </c>
      <c r="F8" s="1">
        <f t="shared" si="1"/>
        <v>13.249647464412947</v>
      </c>
      <c r="G8" s="1">
        <f t="shared" si="1"/>
        <v>10.049647464412946</v>
      </c>
      <c r="H8">
        <f t="shared" si="2"/>
        <v>0.19999999999999996</v>
      </c>
      <c r="I8">
        <f t="shared" si="3"/>
        <v>0.19999999999999996</v>
      </c>
      <c r="J8">
        <f t="shared" si="5"/>
        <v>12.462649814650193</v>
      </c>
    </row>
    <row r="9" spans="1:10" x14ac:dyDescent="0.2">
      <c r="A9">
        <v>7</v>
      </c>
      <c r="B9">
        <f t="shared" si="7"/>
        <v>1.5999999999999999</v>
      </c>
      <c r="C9">
        <f t="shared" si="4"/>
        <v>2</v>
      </c>
      <c r="D9">
        <f t="shared" si="0"/>
        <v>15.38905609893065</v>
      </c>
      <c r="E9" s="1">
        <f t="shared" si="1"/>
        <v>15.38905609893065</v>
      </c>
      <c r="F9" s="1">
        <f t="shared" si="1"/>
        <v>15.38905609893065</v>
      </c>
      <c r="G9" s="1">
        <f t="shared" si="1"/>
        <v>11.38905609893065</v>
      </c>
      <c r="H9">
        <f t="shared" si="2"/>
        <v>0.19999999999999996</v>
      </c>
      <c r="I9">
        <f t="shared" si="3"/>
        <v>0.19999999999999996</v>
      </c>
      <c r="J9">
        <f t="shared" si="5"/>
        <v>15.313129058271112</v>
      </c>
    </row>
    <row r="10" spans="1:10" x14ac:dyDescent="0.2">
      <c r="A10">
        <v>8</v>
      </c>
      <c r="B10">
        <f t="shared" si="7"/>
        <v>1.7999999999999998</v>
      </c>
      <c r="C10">
        <f t="shared" si="4"/>
        <v>2.1999999999999997</v>
      </c>
      <c r="D10">
        <f t="shared" si="0"/>
        <v>18.705013499434124</v>
      </c>
      <c r="E10" s="1">
        <f t="shared" si="1"/>
        <v>18.705013499434124</v>
      </c>
      <c r="F10" s="1">
        <f t="shared" si="1"/>
        <v>17.825013499434121</v>
      </c>
      <c r="G10" s="1">
        <f t="shared" si="1"/>
        <v>13.025013499434122</v>
      </c>
      <c r="H10">
        <f t="shared" si="2"/>
        <v>0.19999999999999996</v>
      </c>
      <c r="I10">
        <f t="shared" si="3"/>
        <v>0.20000000000000018</v>
      </c>
      <c r="J10">
        <f t="shared" si="5"/>
        <v>18.618180076104561</v>
      </c>
    </row>
    <row r="11" spans="1:10" x14ac:dyDescent="0.2">
      <c r="A11">
        <v>9</v>
      </c>
      <c r="B11">
        <f t="shared" si="7"/>
        <v>1.9999999999999998</v>
      </c>
      <c r="C11">
        <f t="shared" si="4"/>
        <v>2.4</v>
      </c>
      <c r="D11">
        <f t="shared" si="0"/>
        <v>22.543176380641601</v>
      </c>
      <c r="E11" s="1">
        <f t="shared" si="1"/>
        <v>22.543176380641601</v>
      </c>
      <c r="F11" s="1">
        <f t="shared" si="1"/>
        <v>20.623176380641603</v>
      </c>
      <c r="G11" s="1">
        <f t="shared" si="1"/>
        <v>15.023176380641601</v>
      </c>
      <c r="H11">
        <f t="shared" si="2"/>
        <v>0.20000000000000018</v>
      </c>
      <c r="I11">
        <f t="shared" si="3"/>
        <v>0.20000000000000018</v>
      </c>
      <c r="J11">
        <f t="shared" si="5"/>
        <v>22.443021871437324</v>
      </c>
    </row>
    <row r="12" spans="1:10" x14ac:dyDescent="0.2">
      <c r="A12">
        <v>10</v>
      </c>
      <c r="B12">
        <f t="shared" si="7"/>
        <v>2.1999999999999997</v>
      </c>
      <c r="C12">
        <f t="shared" si="4"/>
        <v>2.6</v>
      </c>
      <c r="D12">
        <f t="shared" si="0"/>
        <v>26.983738035001693</v>
      </c>
      <c r="E12" s="1">
        <f t="shared" si="1"/>
        <v>26.983738035001693</v>
      </c>
      <c r="F12" s="1">
        <f t="shared" si="1"/>
        <v>23.863738035001692</v>
      </c>
      <c r="G12" s="1">
        <f t="shared" si="1"/>
        <v>17.46373803500169</v>
      </c>
      <c r="H12">
        <f t="shared" si="2"/>
        <v>0.20000000000000018</v>
      </c>
      <c r="I12">
        <f t="shared" si="3"/>
        <v>0.20000000000000018</v>
      </c>
      <c r="J12">
        <f t="shared" si="5"/>
        <v>26.867313114768347</v>
      </c>
    </row>
    <row r="13" spans="1:10" x14ac:dyDescent="0.2">
      <c r="A13">
        <v>11</v>
      </c>
      <c r="B13">
        <f t="shared" si="7"/>
        <v>2.4</v>
      </c>
      <c r="C13">
        <f t="shared" si="4"/>
        <v>2.8000000000000003</v>
      </c>
      <c r="D13">
        <f t="shared" si="0"/>
        <v>32.124646771097048</v>
      </c>
      <c r="E13" s="1">
        <f t="shared" si="1"/>
        <v>32.124646771097048</v>
      </c>
      <c r="F13" s="1">
        <f t="shared" si="1"/>
        <v>27.644646771097047</v>
      </c>
      <c r="G13" s="1">
        <f t="shared" si="1"/>
        <v>20.444646771097048</v>
      </c>
      <c r="H13">
        <f t="shared" si="2"/>
        <v>0.20000000000000018</v>
      </c>
      <c r="I13">
        <f t="shared" si="3"/>
        <v>0.20000000000000018</v>
      </c>
      <c r="J13">
        <f t="shared" si="5"/>
        <v>31.9883491259564</v>
      </c>
    </row>
    <row r="14" spans="1:10" x14ac:dyDescent="0.2">
      <c r="A14">
        <v>12</v>
      </c>
      <c r="B14">
        <f t="shared" si="7"/>
        <v>2.6</v>
      </c>
      <c r="C14">
        <f t="shared" si="4"/>
        <v>3.0000000000000004</v>
      </c>
      <c r="D14">
        <f t="shared" si="0"/>
        <v>38.085536923187668</v>
      </c>
      <c r="E14" s="1">
        <f t="shared" si="1"/>
        <v>38.085536923187668</v>
      </c>
      <c r="F14" s="1">
        <f t="shared" si="1"/>
        <v>32.085536923187668</v>
      </c>
      <c r="G14" s="1">
        <f t="shared" si="1"/>
        <v>24.085536923187668</v>
      </c>
      <c r="H14">
        <f t="shared" si="2"/>
        <v>0.20000000000000018</v>
      </c>
      <c r="I14">
        <f t="shared" si="3"/>
        <v>0.20000000000000018</v>
      </c>
      <c r="J14">
        <f t="shared" si="5"/>
        <v>37.924966677033083</v>
      </c>
    </row>
    <row r="15" spans="1:10" x14ac:dyDescent="0.2">
      <c r="A15">
        <v>13</v>
      </c>
      <c r="B15">
        <f t="shared" si="7"/>
        <v>2.8000000000000003</v>
      </c>
      <c r="C15">
        <f t="shared" si="4"/>
        <v>3.2000000000000006</v>
      </c>
      <c r="D15">
        <f t="shared" si="0"/>
        <v>45.012530197109356</v>
      </c>
      <c r="E15" s="1">
        <f t="shared" si="1"/>
        <v>45.012530197109356</v>
      </c>
      <c r="F15" s="1">
        <f t="shared" si="1"/>
        <v>37.33253019710935</v>
      </c>
      <c r="G15" s="1">
        <f t="shared" si="1"/>
        <v>28.532530197109352</v>
      </c>
      <c r="H15">
        <f t="shared" si="2"/>
        <v>0.20000000000000018</v>
      </c>
      <c r="I15">
        <f t="shared" si="3"/>
        <v>0.20000000000000018</v>
      </c>
      <c r="J15">
        <f t="shared" si="5"/>
        <v>44.822313329128626</v>
      </c>
    </row>
    <row r="16" spans="1:10" x14ac:dyDescent="0.2">
      <c r="A16">
        <v>14</v>
      </c>
      <c r="B16">
        <f>B15+$B$1</f>
        <v>3.0000000000000004</v>
      </c>
      <c r="C16">
        <f t="shared" ref="C16:C26" si="8">(B17+B18+B19)/3</f>
        <v>3.4000000000000008</v>
      </c>
      <c r="D16">
        <f t="shared" si="0"/>
        <v>53.084100047397008</v>
      </c>
      <c r="E16" s="1">
        <f t="shared" si="1"/>
        <v>53.084100047397008</v>
      </c>
      <c r="F16" s="1">
        <f t="shared" si="1"/>
        <v>43.564100047397012</v>
      </c>
      <c r="G16" s="1">
        <f t="shared" si="1"/>
        <v>33.964100047397011</v>
      </c>
      <c r="H16">
        <f t="shared" si="2"/>
        <v>0.20000000000000018</v>
      </c>
      <c r="I16">
        <f t="shared" si="3"/>
        <v>0.20000000000000018</v>
      </c>
      <c r="J16">
        <f t="shared" ref="J16:J26" si="9">E16+1/3*(I16-H16)*F16-1/3*(H16*I16)*G16/2</f>
        <v>52.857672713747696</v>
      </c>
    </row>
    <row r="17" spans="1:10" x14ac:dyDescent="0.2">
      <c r="A17">
        <v>15</v>
      </c>
      <c r="B17">
        <f t="shared" si="7"/>
        <v>3.2000000000000006</v>
      </c>
      <c r="C17">
        <f t="shared" si="8"/>
        <v>3.600000000000001</v>
      </c>
      <c r="D17">
        <f t="shared" si="0"/>
        <v>62.51823444367799</v>
      </c>
      <c r="E17" s="1">
        <f t="shared" si="1"/>
        <v>62.51823444367799</v>
      </c>
      <c r="F17" s="1">
        <f t="shared" si="1"/>
        <v>50.998234443677987</v>
      </c>
      <c r="G17" s="1">
        <f t="shared" si="1"/>
        <v>40.598234443677988</v>
      </c>
      <c r="H17">
        <f t="shared" si="2"/>
        <v>0.20000000000000018</v>
      </c>
      <c r="I17">
        <f t="shared" si="3"/>
        <v>0.20000000000000018</v>
      </c>
      <c r="J17">
        <f t="shared" si="9"/>
        <v>62.247579547386806</v>
      </c>
    </row>
    <row r="18" spans="1:10" x14ac:dyDescent="0.2">
      <c r="A18">
        <v>16</v>
      </c>
      <c r="B18">
        <f t="shared" si="7"/>
        <v>3.4000000000000008</v>
      </c>
      <c r="C18">
        <f t="shared" si="8"/>
        <v>3.8000000000000007</v>
      </c>
      <c r="D18">
        <f t="shared" si="0"/>
        <v>73.58118449330081</v>
      </c>
      <c r="E18" s="1">
        <f t="shared" si="1"/>
        <v>73.58118449330081</v>
      </c>
      <c r="F18" s="1">
        <f t="shared" si="1"/>
        <v>59.901184493300818</v>
      </c>
      <c r="G18" s="1">
        <f t="shared" si="1"/>
        <v>48.701184493300815</v>
      </c>
      <c r="H18">
        <f t="shared" si="2"/>
        <v>0.20000000000000018</v>
      </c>
      <c r="I18">
        <f t="shared" si="3"/>
        <v>0.19999999999999973</v>
      </c>
      <c r="J18">
        <f t="shared" si="9"/>
        <v>73.256509930012129</v>
      </c>
    </row>
    <row r="19" spans="1:10" x14ac:dyDescent="0.2">
      <c r="A19">
        <v>17</v>
      </c>
      <c r="B19">
        <f t="shared" ref="B19:B56" si="10">B18+$B$1</f>
        <v>3.600000000000001</v>
      </c>
      <c r="C19">
        <f t="shared" si="8"/>
        <v>4.0000000000000009</v>
      </c>
      <c r="D19">
        <f t="shared" si="0"/>
        <v>86.598150033144236</v>
      </c>
      <c r="E19" s="1">
        <f t="shared" si="1"/>
        <v>86.598150033144236</v>
      </c>
      <c r="F19" s="1">
        <f t="shared" si="1"/>
        <v>70.598150033144236</v>
      </c>
      <c r="G19" s="1">
        <f t="shared" si="1"/>
        <v>58.598150033144236</v>
      </c>
      <c r="H19">
        <f t="shared" si="2"/>
        <v>0.19999999999999973</v>
      </c>
      <c r="I19">
        <f t="shared" si="3"/>
        <v>0.20000000000000018</v>
      </c>
      <c r="J19">
        <f t="shared" si="9"/>
        <v>86.207495699589956</v>
      </c>
    </row>
    <row r="20" spans="1:10" x14ac:dyDescent="0.2">
      <c r="A20">
        <v>18</v>
      </c>
      <c r="B20">
        <f t="shared" si="10"/>
        <v>3.8000000000000012</v>
      </c>
      <c r="C20">
        <f t="shared" si="8"/>
        <v>4.200000000000002</v>
      </c>
      <c r="D20">
        <f t="shared" si="0"/>
        <v>101.96633104092516</v>
      </c>
      <c r="E20" s="1">
        <f t="shared" si="1"/>
        <v>101.96633104092516</v>
      </c>
      <c r="F20" s="1">
        <f t="shared" si="1"/>
        <v>83.486331040925151</v>
      </c>
      <c r="G20" s="1">
        <f t="shared" si="1"/>
        <v>70.686331040925154</v>
      </c>
      <c r="H20">
        <f t="shared" si="2"/>
        <v>0.20000000000000018</v>
      </c>
      <c r="I20">
        <f t="shared" si="3"/>
        <v>0.20000000000000018</v>
      </c>
      <c r="J20">
        <f t="shared" si="9"/>
        <v>101.49508883398565</v>
      </c>
    </row>
    <row r="21" spans="1:10" x14ac:dyDescent="0.2">
      <c r="A21">
        <v>19</v>
      </c>
      <c r="B21">
        <f t="shared" si="10"/>
        <v>4.0000000000000009</v>
      </c>
      <c r="C21">
        <f t="shared" si="8"/>
        <v>4.4000000000000012</v>
      </c>
      <c r="D21">
        <f t="shared" si="0"/>
        <v>120.17086866496814</v>
      </c>
      <c r="E21" s="1">
        <f t="shared" si="1"/>
        <v>120.17086866496814</v>
      </c>
      <c r="F21" s="1">
        <f t="shared" si="1"/>
        <v>99.050868664968135</v>
      </c>
      <c r="G21" s="1">
        <f t="shared" si="1"/>
        <v>85.450868664968141</v>
      </c>
      <c r="H21">
        <f t="shared" si="2"/>
        <v>0.20000000000000018</v>
      </c>
      <c r="I21">
        <f t="shared" si="3"/>
        <v>0.20000000000000018</v>
      </c>
      <c r="J21">
        <f t="shared" si="9"/>
        <v>119.60119620720168</v>
      </c>
    </row>
    <row r="22" spans="1:10" x14ac:dyDescent="0.2">
      <c r="A22">
        <v>20</v>
      </c>
      <c r="B22">
        <f t="shared" si="10"/>
        <v>4.2000000000000011</v>
      </c>
      <c r="C22">
        <f t="shared" si="8"/>
        <v>4.6000000000000014</v>
      </c>
      <c r="D22">
        <f t="shared" si="0"/>
        <v>141.80431564193378</v>
      </c>
      <c r="E22" s="1">
        <f t="shared" si="1"/>
        <v>141.80431564193378</v>
      </c>
      <c r="F22" s="1">
        <f t="shared" si="1"/>
        <v>117.88431564193377</v>
      </c>
      <c r="G22" s="1">
        <f t="shared" si="1"/>
        <v>103.48431564193378</v>
      </c>
      <c r="H22">
        <f t="shared" si="2"/>
        <v>0.20000000000000018</v>
      </c>
      <c r="I22">
        <f t="shared" si="3"/>
        <v>0.20000000000000018</v>
      </c>
      <c r="J22">
        <f t="shared" si="9"/>
        <v>141.11442020432088</v>
      </c>
    </row>
    <row r="23" spans="1:10" x14ac:dyDescent="0.2">
      <c r="A23">
        <v>21</v>
      </c>
      <c r="B23">
        <f t="shared" si="10"/>
        <v>4.4000000000000012</v>
      </c>
      <c r="C23">
        <f t="shared" si="8"/>
        <v>4.8000000000000016</v>
      </c>
      <c r="D23">
        <f t="shared" si="0"/>
        <v>167.59041751873485</v>
      </c>
      <c r="E23" s="1">
        <f t="shared" ref="E23:G42" si="11">evalFun(E$1,$B25,"xv")</f>
        <v>167.59041751873485</v>
      </c>
      <c r="F23" s="1">
        <f t="shared" si="11"/>
        <v>140.71041751873486</v>
      </c>
      <c r="G23" s="1">
        <f t="shared" si="11"/>
        <v>125.51041751873485</v>
      </c>
      <c r="H23">
        <f t="shared" si="2"/>
        <v>0.20000000000000018</v>
      </c>
      <c r="I23">
        <f t="shared" si="3"/>
        <v>0.20000000000000018</v>
      </c>
      <c r="J23">
        <f t="shared" si="9"/>
        <v>166.75368140194328</v>
      </c>
    </row>
    <row r="24" spans="1:10" x14ac:dyDescent="0.2">
      <c r="A24">
        <v>22</v>
      </c>
      <c r="B24">
        <f t="shared" si="10"/>
        <v>4.6000000000000014</v>
      </c>
      <c r="C24">
        <f t="shared" si="8"/>
        <v>5.0000000000000027</v>
      </c>
      <c r="D24">
        <f t="shared" si="0"/>
        <v>198.4131591025766</v>
      </c>
      <c r="E24" s="1">
        <f t="shared" si="11"/>
        <v>198.4131591025766</v>
      </c>
      <c r="F24" s="1">
        <f t="shared" si="11"/>
        <v>168.4131591025766</v>
      </c>
      <c r="G24" s="1">
        <f t="shared" si="11"/>
        <v>152.4131591025766</v>
      </c>
      <c r="H24">
        <f t="shared" si="2"/>
        <v>0.20000000000000018</v>
      </c>
      <c r="I24">
        <f t="shared" si="3"/>
        <v>0.20000000000000018</v>
      </c>
      <c r="J24">
        <f t="shared" si="9"/>
        <v>197.39707137522609</v>
      </c>
    </row>
    <row r="25" spans="1:10" x14ac:dyDescent="0.2">
      <c r="A25">
        <v>23</v>
      </c>
      <c r="B25">
        <f t="shared" si="10"/>
        <v>4.8000000000000016</v>
      </c>
      <c r="C25">
        <f t="shared" si="8"/>
        <v>5.200000000000002</v>
      </c>
      <c r="D25">
        <f t="shared" si="0"/>
        <v>235.35224187515124</v>
      </c>
      <c r="E25" s="1">
        <f t="shared" si="11"/>
        <v>235.35224187515124</v>
      </c>
      <c r="F25" s="1">
        <f t="shared" si="11"/>
        <v>202.07224187515124</v>
      </c>
      <c r="G25" s="1">
        <f t="shared" si="11"/>
        <v>185.27224187515122</v>
      </c>
      <c r="H25">
        <f t="shared" si="2"/>
        <v>0.20000000000000018</v>
      </c>
      <c r="I25">
        <f t="shared" si="3"/>
        <v>0.20000000000000018</v>
      </c>
      <c r="J25">
        <f t="shared" si="9"/>
        <v>234.11709359598356</v>
      </c>
    </row>
    <row r="26" spans="1:10" x14ac:dyDescent="0.2">
      <c r="A26">
        <v>24</v>
      </c>
      <c r="B26">
        <f t="shared" si="10"/>
        <v>5.0000000000000018</v>
      </c>
      <c r="C26">
        <f t="shared" si="8"/>
        <v>5.4000000000000021</v>
      </c>
      <c r="D26">
        <f t="shared" si="0"/>
        <v>279.72641620418716</v>
      </c>
      <c r="E26" s="1">
        <f t="shared" si="11"/>
        <v>279.72641620418716</v>
      </c>
      <c r="F26" s="1">
        <f t="shared" si="11"/>
        <v>243.00641620418716</v>
      </c>
      <c r="G26" s="1">
        <f t="shared" si="11"/>
        <v>225.40641620418717</v>
      </c>
      <c r="H26">
        <f t="shared" si="2"/>
        <v>0.20000000000000018</v>
      </c>
      <c r="I26">
        <f t="shared" si="3"/>
        <v>0.20000000000000018</v>
      </c>
      <c r="J26">
        <f t="shared" si="9"/>
        <v>278.22370676282588</v>
      </c>
    </row>
    <row r="27" spans="1:10" x14ac:dyDescent="0.2">
      <c r="A27">
        <v>25</v>
      </c>
      <c r="B27">
        <f t="shared" si="10"/>
        <v>5.200000000000002</v>
      </c>
      <c r="C27">
        <f t="shared" ref="C27:C55" si="12">(B28+B29+B30)/3</f>
        <v>5.6000000000000014</v>
      </c>
      <c r="D27">
        <f t="shared" si="0"/>
        <v>333.14640742615251</v>
      </c>
      <c r="E27" s="1">
        <f t="shared" si="11"/>
        <v>333.14640742615251</v>
      </c>
      <c r="F27" s="1">
        <f t="shared" si="11"/>
        <v>292.82640742615251</v>
      </c>
      <c r="G27" s="1">
        <f t="shared" si="11"/>
        <v>274.42640742615254</v>
      </c>
      <c r="H27">
        <f t="shared" si="2"/>
        <v>0.20000000000000018</v>
      </c>
      <c r="I27">
        <f t="shared" si="3"/>
        <v>0.20000000000000018</v>
      </c>
      <c r="J27">
        <f t="shared" ref="J27:J55" si="13">E27+1/3*(I27-H27)*F27-1/3*(H27*I27)*G27/2</f>
        <v>331.31689804331148</v>
      </c>
    </row>
    <row r="28" spans="1:10" x14ac:dyDescent="0.2">
      <c r="A28">
        <v>26</v>
      </c>
      <c r="B28">
        <f t="shared" si="10"/>
        <v>5.4000000000000021</v>
      </c>
      <c r="C28">
        <f t="shared" si="12"/>
        <v>5.8000000000000034</v>
      </c>
      <c r="D28">
        <f t="shared" si="0"/>
        <v>397.57955990964865</v>
      </c>
      <c r="E28" s="1">
        <f t="shared" si="11"/>
        <v>397.57955990964865</v>
      </c>
      <c r="F28" s="1">
        <f t="shared" si="11"/>
        <v>353.49955990964861</v>
      </c>
      <c r="G28" s="1">
        <f t="shared" si="11"/>
        <v>334.29955990964862</v>
      </c>
      <c r="H28">
        <f t="shared" si="2"/>
        <v>0.20000000000000018</v>
      </c>
      <c r="I28">
        <f t="shared" si="3"/>
        <v>0.20000000000000018</v>
      </c>
      <c r="J28">
        <f t="shared" si="13"/>
        <v>395.35089617691767</v>
      </c>
    </row>
    <row r="29" spans="1:10" x14ac:dyDescent="0.2">
      <c r="A29">
        <v>27</v>
      </c>
      <c r="B29">
        <f t="shared" si="10"/>
        <v>5.6000000000000023</v>
      </c>
      <c r="C29">
        <f t="shared" si="12"/>
        <v>6.0000000000000027</v>
      </c>
      <c r="D29">
        <f t="shared" si="0"/>
        <v>475.42879349273511</v>
      </c>
      <c r="E29" s="1">
        <f t="shared" si="11"/>
        <v>475.42879349273511</v>
      </c>
      <c r="F29" s="1">
        <f t="shared" si="11"/>
        <v>427.42879349273511</v>
      </c>
      <c r="G29" s="1">
        <f t="shared" si="11"/>
        <v>407.42879349273511</v>
      </c>
      <c r="H29">
        <f t="shared" si="2"/>
        <v>0.20000000000000018</v>
      </c>
      <c r="I29">
        <f t="shared" si="3"/>
        <v>0.20000000000000018</v>
      </c>
      <c r="J29">
        <f t="shared" si="13"/>
        <v>472.71260153611689</v>
      </c>
    </row>
    <row r="30" spans="1:10" x14ac:dyDescent="0.2">
      <c r="A30">
        <v>28</v>
      </c>
      <c r="B30">
        <f t="shared" si="10"/>
        <v>5.8000000000000025</v>
      </c>
      <c r="C30">
        <f t="shared" si="12"/>
        <v>6.2000000000000028</v>
      </c>
      <c r="D30">
        <f t="shared" si="0"/>
        <v>569.62904109325632</v>
      </c>
      <c r="E30" s="1">
        <f t="shared" si="11"/>
        <v>569.62904109325632</v>
      </c>
      <c r="F30" s="1">
        <f t="shared" si="11"/>
        <v>517.54904109325628</v>
      </c>
      <c r="G30" s="1">
        <f t="shared" si="11"/>
        <v>496.74904109325632</v>
      </c>
      <c r="H30">
        <f t="shared" si="2"/>
        <v>0.20000000000000018</v>
      </c>
      <c r="I30">
        <f t="shared" si="3"/>
        <v>0.20000000000000018</v>
      </c>
      <c r="J30">
        <f t="shared" si="13"/>
        <v>566.31738081930132</v>
      </c>
    </row>
    <row r="31" spans="1:10" x14ac:dyDescent="0.2">
      <c r="A31">
        <v>29</v>
      </c>
      <c r="B31">
        <f t="shared" si="10"/>
        <v>6.0000000000000027</v>
      </c>
      <c r="C31">
        <f t="shared" si="12"/>
        <v>6.400000000000003</v>
      </c>
      <c r="D31">
        <f t="shared" si="0"/>
        <v>683.7650378720823</v>
      </c>
      <c r="E31" s="1">
        <f t="shared" si="11"/>
        <v>683.7650378720823</v>
      </c>
      <c r="F31" s="1">
        <f t="shared" si="11"/>
        <v>627.44503787208225</v>
      </c>
      <c r="G31" s="1">
        <f t="shared" si="11"/>
        <v>605.84503787208223</v>
      </c>
      <c r="H31">
        <f t="shared" si="2"/>
        <v>0.20000000000000018</v>
      </c>
      <c r="I31">
        <f t="shared" si="3"/>
        <v>0.20000000000000018</v>
      </c>
      <c r="J31">
        <f t="shared" si="13"/>
        <v>679.72607095293506</v>
      </c>
    </row>
    <row r="32" spans="1:10" x14ac:dyDescent="0.2">
      <c r="A32">
        <v>30</v>
      </c>
      <c r="B32">
        <f t="shared" si="10"/>
        <v>6.2000000000000028</v>
      </c>
      <c r="C32">
        <f t="shared" si="12"/>
        <v>6.6000000000000041</v>
      </c>
      <c r="D32">
        <f t="shared" si="0"/>
        <v>822.21518924197267</v>
      </c>
      <c r="E32" s="1">
        <f t="shared" si="11"/>
        <v>822.21518924197267</v>
      </c>
      <c r="F32" s="1">
        <f t="shared" si="11"/>
        <v>761.49518924197264</v>
      </c>
      <c r="G32" s="1">
        <f t="shared" si="11"/>
        <v>739.09518924197266</v>
      </c>
      <c r="H32">
        <f t="shared" si="2"/>
        <v>0.20000000000000018</v>
      </c>
      <c r="I32">
        <f t="shared" si="3"/>
        <v>0.20000000000000018</v>
      </c>
      <c r="J32">
        <f t="shared" si="13"/>
        <v>817.28788798035953</v>
      </c>
    </row>
    <row r="33" spans="1:10" x14ac:dyDescent="0.2">
      <c r="A33">
        <v>31</v>
      </c>
      <c r="B33">
        <f t="shared" si="10"/>
        <v>6.400000000000003</v>
      </c>
      <c r="C33">
        <f t="shared" si="12"/>
        <v>6.8000000000000034</v>
      </c>
      <c r="D33">
        <f t="shared" si="0"/>
        <v>990.32729165041758</v>
      </c>
      <c r="E33" s="1">
        <f t="shared" si="11"/>
        <v>990.32729165041758</v>
      </c>
      <c r="F33" s="1">
        <f t="shared" si="11"/>
        <v>925.04729165041761</v>
      </c>
      <c r="G33" s="1">
        <f t="shared" si="11"/>
        <v>901.84729165041756</v>
      </c>
      <c r="H33">
        <f t="shared" si="2"/>
        <v>0.20000000000000018</v>
      </c>
      <c r="I33">
        <f t="shared" si="3"/>
        <v>0.20000000000000018</v>
      </c>
      <c r="J33">
        <f t="shared" si="13"/>
        <v>984.31497637274811</v>
      </c>
    </row>
    <row r="34" spans="1:10" x14ac:dyDescent="0.2">
      <c r="A34">
        <v>32</v>
      </c>
      <c r="B34">
        <f t="shared" si="10"/>
        <v>6.6000000000000032</v>
      </c>
      <c r="C34">
        <f t="shared" si="12"/>
        <v>7.0000000000000036</v>
      </c>
      <c r="D34">
        <f t="shared" si="0"/>
        <v>1194.6331584284585</v>
      </c>
      <c r="E34" s="1">
        <f t="shared" si="11"/>
        <v>1194.6331584284585</v>
      </c>
      <c r="F34" s="1">
        <f t="shared" si="11"/>
        <v>1124.6331584284585</v>
      </c>
      <c r="G34" s="1">
        <f t="shared" si="11"/>
        <v>1100.6331584284585</v>
      </c>
      <c r="H34">
        <f t="shared" si="2"/>
        <v>0.20000000000000018</v>
      </c>
      <c r="I34">
        <f t="shared" si="3"/>
        <v>0.20000000000000018</v>
      </c>
      <c r="J34">
        <f t="shared" si="13"/>
        <v>1187.2956040389354</v>
      </c>
    </row>
    <row r="35" spans="1:10" x14ac:dyDescent="0.2">
      <c r="A35">
        <v>33</v>
      </c>
      <c r="B35">
        <f t="shared" si="10"/>
        <v>6.8000000000000034</v>
      </c>
      <c r="C35">
        <f t="shared" si="12"/>
        <v>7.2000000000000028</v>
      </c>
      <c r="D35">
        <f t="shared" ref="D35:D66" si="14">evalFun(E$1,$C35,"xv")</f>
        <v>1443.1107643944181</v>
      </c>
      <c r="E35" s="1">
        <f t="shared" si="11"/>
        <v>1443.1107643944181</v>
      </c>
      <c r="F35" s="1">
        <f t="shared" si="11"/>
        <v>1368.230764394418</v>
      </c>
      <c r="G35" s="1">
        <f t="shared" si="11"/>
        <v>1343.430764394418</v>
      </c>
      <c r="H35">
        <f t="shared" ref="H35:H66" si="15">B37-B36</f>
        <v>0.20000000000000018</v>
      </c>
      <c r="I35">
        <f t="shared" ref="I35:I66" si="16">B38-B37</f>
        <v>0.20000000000000018</v>
      </c>
      <c r="J35">
        <f t="shared" si="13"/>
        <v>1434.1545592984553</v>
      </c>
    </row>
    <row r="36" spans="1:10" x14ac:dyDescent="0.2">
      <c r="A36">
        <v>34</v>
      </c>
      <c r="B36">
        <f t="shared" si="10"/>
        <v>7.0000000000000036</v>
      </c>
      <c r="C36">
        <f t="shared" si="12"/>
        <v>7.4000000000000048</v>
      </c>
      <c r="D36">
        <f t="shared" si="14"/>
        <v>1745.504429995927</v>
      </c>
      <c r="E36" s="1">
        <f t="shared" si="11"/>
        <v>1745.504429995927</v>
      </c>
      <c r="F36" s="1">
        <f t="shared" si="11"/>
        <v>1665.5844299959269</v>
      </c>
      <c r="G36" s="1">
        <f t="shared" si="11"/>
        <v>1639.984429995927</v>
      </c>
      <c r="H36">
        <f t="shared" si="15"/>
        <v>0.20000000000000018</v>
      </c>
      <c r="I36">
        <f t="shared" si="16"/>
        <v>0.20000000000000018</v>
      </c>
      <c r="J36">
        <f t="shared" si="13"/>
        <v>1734.5712004626207</v>
      </c>
    </row>
    <row r="37" spans="1:10" x14ac:dyDescent="0.2">
      <c r="A37">
        <v>35</v>
      </c>
      <c r="B37">
        <f t="shared" si="10"/>
        <v>7.2000000000000037</v>
      </c>
      <c r="C37">
        <f t="shared" si="12"/>
        <v>7.6000000000000041</v>
      </c>
      <c r="D37">
        <f t="shared" si="14"/>
        <v>2113.7158951041174</v>
      </c>
      <c r="E37" s="1">
        <f t="shared" si="11"/>
        <v>2113.7158951041174</v>
      </c>
      <c r="F37" s="1">
        <f t="shared" si="11"/>
        <v>2028.5958951041173</v>
      </c>
      <c r="G37" s="1">
        <f t="shared" si="11"/>
        <v>2002.1958951041172</v>
      </c>
      <c r="H37">
        <f t="shared" si="15"/>
        <v>0.20000000000000018</v>
      </c>
      <c r="I37">
        <f t="shared" si="16"/>
        <v>0.20000000000000018</v>
      </c>
      <c r="J37">
        <f t="shared" si="13"/>
        <v>2100.36792247009</v>
      </c>
    </row>
    <row r="38" spans="1:10" x14ac:dyDescent="0.2">
      <c r="A38">
        <v>36</v>
      </c>
      <c r="B38">
        <f t="shared" si="10"/>
        <v>7.4000000000000039</v>
      </c>
      <c r="C38">
        <f t="shared" si="12"/>
        <v>7.8000000000000043</v>
      </c>
      <c r="D38">
        <f t="shared" si="14"/>
        <v>2562.2819776244983</v>
      </c>
      <c r="E38" s="1">
        <f t="shared" si="11"/>
        <v>2562.2819776244983</v>
      </c>
      <c r="F38" s="1">
        <f t="shared" si="11"/>
        <v>2471.8019776244982</v>
      </c>
      <c r="G38" s="1">
        <f t="shared" si="11"/>
        <v>2444.6019776244984</v>
      </c>
      <c r="H38">
        <f t="shared" si="15"/>
        <v>0.20000000000000018</v>
      </c>
      <c r="I38">
        <f t="shared" si="16"/>
        <v>0.19999999999999929</v>
      </c>
      <c r="J38">
        <f t="shared" si="13"/>
        <v>2545.984631107001</v>
      </c>
    </row>
    <row r="39" spans="1:10" x14ac:dyDescent="0.2">
      <c r="A39">
        <v>37</v>
      </c>
      <c r="B39">
        <f t="shared" si="10"/>
        <v>7.6000000000000041</v>
      </c>
      <c r="C39">
        <f t="shared" si="12"/>
        <v>8.0000000000000036</v>
      </c>
      <c r="D39">
        <f t="shared" si="14"/>
        <v>3108.9579870417283</v>
      </c>
      <c r="E39" s="1">
        <f t="shared" si="11"/>
        <v>3108.9579870417283</v>
      </c>
      <c r="F39" s="1">
        <f t="shared" si="11"/>
        <v>3012.9579870417283</v>
      </c>
      <c r="G39" s="1">
        <f t="shared" si="11"/>
        <v>2984.9579870417283</v>
      </c>
      <c r="H39">
        <f t="shared" si="15"/>
        <v>0.19999999999999929</v>
      </c>
      <c r="I39">
        <f t="shared" si="16"/>
        <v>0.19999999999999929</v>
      </c>
      <c r="J39">
        <f t="shared" si="13"/>
        <v>3089.0582671281168</v>
      </c>
    </row>
    <row r="40" spans="1:10" x14ac:dyDescent="0.2">
      <c r="A40">
        <v>38</v>
      </c>
      <c r="B40">
        <f t="shared" si="10"/>
        <v>7.8000000000000043</v>
      </c>
      <c r="C40">
        <f t="shared" si="12"/>
        <v>8.2000000000000028</v>
      </c>
      <c r="D40">
        <f t="shared" si="14"/>
        <v>3775.4303073323522</v>
      </c>
      <c r="E40" s="1">
        <f t="shared" si="11"/>
        <v>3775.4303073323522</v>
      </c>
      <c r="F40" s="1">
        <f t="shared" si="11"/>
        <v>3673.7503073323523</v>
      </c>
      <c r="G40" s="1">
        <f t="shared" si="11"/>
        <v>3644.9503073323522</v>
      </c>
      <c r="H40">
        <f t="shared" si="15"/>
        <v>0.19999999999999929</v>
      </c>
      <c r="I40">
        <f t="shared" si="16"/>
        <v>0.19999999999999929</v>
      </c>
      <c r="J40">
        <f t="shared" si="13"/>
        <v>3751.1306386168035</v>
      </c>
    </row>
    <row r="41" spans="1:10" x14ac:dyDescent="0.2">
      <c r="A41">
        <v>39</v>
      </c>
      <c r="B41">
        <f t="shared" si="10"/>
        <v>8.0000000000000036</v>
      </c>
      <c r="C41">
        <f t="shared" si="12"/>
        <v>8.4000000000000021</v>
      </c>
      <c r="D41">
        <f t="shared" si="14"/>
        <v>4588.1867476998577</v>
      </c>
      <c r="E41" s="1">
        <f t="shared" si="11"/>
        <v>4588.1867476998577</v>
      </c>
      <c r="F41" s="1">
        <f t="shared" si="11"/>
        <v>4480.6667476998582</v>
      </c>
      <c r="G41" s="1">
        <f t="shared" si="11"/>
        <v>4451.0667476998578</v>
      </c>
      <c r="H41">
        <f t="shared" si="15"/>
        <v>0.19999999999999929</v>
      </c>
      <c r="I41">
        <f t="shared" si="16"/>
        <v>0.19999999999999929</v>
      </c>
      <c r="J41">
        <f t="shared" si="13"/>
        <v>4558.512969381859</v>
      </c>
    </row>
    <row r="42" spans="1:10" x14ac:dyDescent="0.2">
      <c r="A42">
        <v>40</v>
      </c>
      <c r="B42">
        <f t="shared" si="10"/>
        <v>8.2000000000000028</v>
      </c>
      <c r="C42">
        <f t="shared" si="12"/>
        <v>8.6000000000000014</v>
      </c>
      <c r="D42">
        <f t="shared" si="14"/>
        <v>5579.5795913629781</v>
      </c>
      <c r="E42" s="1">
        <f t="shared" si="11"/>
        <v>5579.5795913629781</v>
      </c>
      <c r="F42" s="1">
        <f t="shared" si="11"/>
        <v>5466.0595913629777</v>
      </c>
      <c r="G42" s="1">
        <f t="shared" si="11"/>
        <v>5435.6595913629781</v>
      </c>
      <c r="H42">
        <f t="shared" si="15"/>
        <v>0.19999999999999929</v>
      </c>
      <c r="I42">
        <f t="shared" si="16"/>
        <v>0.19999999999999929</v>
      </c>
      <c r="J42">
        <f t="shared" si="13"/>
        <v>5543.3418607538915</v>
      </c>
    </row>
    <row r="43" spans="1:10" x14ac:dyDescent="0.2">
      <c r="A43">
        <v>41</v>
      </c>
      <c r="B43">
        <f t="shared" si="10"/>
        <v>8.4000000000000021</v>
      </c>
      <c r="C43">
        <f t="shared" si="12"/>
        <v>8.8000000000000007</v>
      </c>
      <c r="D43">
        <f t="shared" si="14"/>
        <v>6789.1240062778897</v>
      </c>
      <c r="E43" s="1">
        <f t="shared" ref="E43:G62" si="17">evalFun(E$1,$B45,"xv")</f>
        <v>6789.1240062778897</v>
      </c>
      <c r="F43" s="1">
        <f t="shared" si="17"/>
        <v>6669.4440062778895</v>
      </c>
      <c r="G43" s="1">
        <f t="shared" si="17"/>
        <v>6638.2440062778896</v>
      </c>
      <c r="H43">
        <f t="shared" si="15"/>
        <v>0.19999999999999929</v>
      </c>
      <c r="I43">
        <f t="shared" si="16"/>
        <v>0.19999999999999929</v>
      </c>
      <c r="J43">
        <f t="shared" si="13"/>
        <v>6744.8690462360373</v>
      </c>
    </row>
    <row r="44" spans="1:10" x14ac:dyDescent="0.2">
      <c r="A44">
        <v>42</v>
      </c>
      <c r="B44">
        <f t="shared" si="10"/>
        <v>8.6000000000000014</v>
      </c>
      <c r="C44">
        <f t="shared" si="12"/>
        <v>9</v>
      </c>
      <c r="D44">
        <f t="shared" si="14"/>
        <v>8265.0839275753842</v>
      </c>
      <c r="E44" s="1">
        <f t="shared" si="17"/>
        <v>8265.0839275753842</v>
      </c>
      <c r="F44" s="1">
        <f t="shared" si="17"/>
        <v>8139.0839275753842</v>
      </c>
      <c r="G44" s="1">
        <f t="shared" si="17"/>
        <v>8107.0839275753842</v>
      </c>
      <c r="H44">
        <f t="shared" si="15"/>
        <v>0.19999999999999929</v>
      </c>
      <c r="I44">
        <f t="shared" si="16"/>
        <v>0.19999999999999929</v>
      </c>
      <c r="J44">
        <f t="shared" si="13"/>
        <v>8211.0367013915493</v>
      </c>
    </row>
    <row r="45" spans="1:10" x14ac:dyDescent="0.2">
      <c r="A45">
        <v>43</v>
      </c>
      <c r="B45">
        <f t="shared" si="10"/>
        <v>8.8000000000000007</v>
      </c>
      <c r="C45">
        <f t="shared" si="12"/>
        <v>9.1999999999999993</v>
      </c>
      <c r="D45">
        <f t="shared" si="14"/>
        <v>10066.40905874391</v>
      </c>
      <c r="E45" s="1">
        <f t="shared" si="17"/>
        <v>10066.40905874391</v>
      </c>
      <c r="F45" s="1">
        <f t="shared" si="17"/>
        <v>9933.9290587439082</v>
      </c>
      <c r="G45" s="1">
        <f t="shared" si="17"/>
        <v>9901.1290587439089</v>
      </c>
      <c r="H45">
        <f t="shared" si="15"/>
        <v>0.19999999999999929</v>
      </c>
      <c r="I45">
        <f t="shared" si="16"/>
        <v>0.19999999999999929</v>
      </c>
      <c r="J45">
        <f t="shared" si="13"/>
        <v>10000.401531685617</v>
      </c>
    </row>
    <row r="46" spans="1:10" x14ac:dyDescent="0.2">
      <c r="A46">
        <v>44</v>
      </c>
      <c r="B46">
        <f t="shared" si="10"/>
        <v>9</v>
      </c>
      <c r="C46">
        <f t="shared" si="12"/>
        <v>9.3999999999999986</v>
      </c>
      <c r="D46">
        <f t="shared" si="14"/>
        <v>12265.100730216987</v>
      </c>
      <c r="E46" s="1">
        <f t="shared" si="17"/>
        <v>12265.100730216987</v>
      </c>
      <c r="F46" s="1">
        <f t="shared" si="17"/>
        <v>12125.980730216988</v>
      </c>
      <c r="G46" s="1">
        <f t="shared" si="17"/>
        <v>12092.380730216988</v>
      </c>
      <c r="H46">
        <f t="shared" si="15"/>
        <v>0.19999999999999929</v>
      </c>
      <c r="I46">
        <f t="shared" si="16"/>
        <v>0.19999999999999929</v>
      </c>
      <c r="J46">
        <f t="shared" si="13"/>
        <v>12184.484858682208</v>
      </c>
    </row>
    <row r="47" spans="1:10" x14ac:dyDescent="0.2">
      <c r="A47">
        <v>45</v>
      </c>
      <c r="B47">
        <f t="shared" si="10"/>
        <v>9.1999999999999993</v>
      </c>
      <c r="C47">
        <f t="shared" si="12"/>
        <v>9.5999999999999979</v>
      </c>
      <c r="D47">
        <f t="shared" si="14"/>
        <v>14949.101565577266</v>
      </c>
      <c r="E47" s="1">
        <f t="shared" si="17"/>
        <v>14949.101565577266</v>
      </c>
      <c r="F47" s="1">
        <f t="shared" si="17"/>
        <v>14803.181565577266</v>
      </c>
      <c r="G47" s="1">
        <f t="shared" si="17"/>
        <v>14768.781565577267</v>
      </c>
      <c r="H47">
        <f t="shared" si="15"/>
        <v>0.19999999999999929</v>
      </c>
      <c r="I47">
        <f t="shared" si="16"/>
        <v>0.19999999999999929</v>
      </c>
      <c r="J47">
        <f t="shared" si="13"/>
        <v>14850.643021806753</v>
      </c>
    </row>
    <row r="48" spans="1:10" x14ac:dyDescent="0.2">
      <c r="A48">
        <v>46</v>
      </c>
      <c r="B48">
        <f t="shared" si="10"/>
        <v>9.3999999999999986</v>
      </c>
      <c r="C48">
        <f t="shared" si="12"/>
        <v>9.7999999999999972</v>
      </c>
      <c r="D48">
        <f t="shared" si="14"/>
        <v>18225.824927828526</v>
      </c>
      <c r="E48" s="1">
        <f t="shared" si="17"/>
        <v>18225.824927828526</v>
      </c>
      <c r="F48" s="1">
        <f t="shared" si="17"/>
        <v>18072.944927828525</v>
      </c>
      <c r="G48" s="1">
        <f t="shared" si="17"/>
        <v>18037.744927828524</v>
      </c>
      <c r="H48">
        <f t="shared" si="15"/>
        <v>0.19999999999999929</v>
      </c>
      <c r="I48">
        <f t="shared" si="16"/>
        <v>0.19999999999999929</v>
      </c>
      <c r="J48">
        <f t="shared" si="13"/>
        <v>18105.573294976337</v>
      </c>
    </row>
    <row r="49" spans="1:10" x14ac:dyDescent="0.2">
      <c r="A49">
        <v>47</v>
      </c>
      <c r="B49">
        <f t="shared" si="10"/>
        <v>9.5999999999999979</v>
      </c>
      <c r="C49">
        <f t="shared" si="12"/>
        <v>9.9999999999999964</v>
      </c>
      <c r="D49">
        <f t="shared" si="14"/>
        <v>22226.465794806718</v>
      </c>
      <c r="E49" s="1">
        <f t="shared" si="17"/>
        <v>22226.465794806718</v>
      </c>
      <c r="F49" s="1">
        <f t="shared" si="17"/>
        <v>22066.465794806718</v>
      </c>
      <c r="G49" s="1">
        <f t="shared" si="17"/>
        <v>22030.465794806718</v>
      </c>
      <c r="H49">
        <f t="shared" si="15"/>
        <v>0.19999999999999929</v>
      </c>
      <c r="I49">
        <f t="shared" si="16"/>
        <v>0.19999999999999929</v>
      </c>
      <c r="J49">
        <f t="shared" si="13"/>
        <v>22079.596022841342</v>
      </c>
    </row>
    <row r="50" spans="1:10" x14ac:dyDescent="0.2">
      <c r="A50">
        <v>48</v>
      </c>
      <c r="B50">
        <f t="shared" si="10"/>
        <v>9.7999999999999972</v>
      </c>
      <c r="C50">
        <f t="shared" si="12"/>
        <v>10.199999999999996</v>
      </c>
      <c r="D50">
        <f t="shared" si="14"/>
        <v>27111.266074297542</v>
      </c>
      <c r="E50" s="1">
        <f t="shared" si="17"/>
        <v>27111.266074297542</v>
      </c>
      <c r="F50" s="1">
        <f t="shared" si="17"/>
        <v>26943.98607429754</v>
      </c>
      <c r="G50" s="1">
        <f t="shared" si="17"/>
        <v>26907.18607429754</v>
      </c>
      <c r="H50">
        <f t="shared" si="15"/>
        <v>0.19999999999999929</v>
      </c>
      <c r="I50">
        <f t="shared" si="16"/>
        <v>0.19999999999999929</v>
      </c>
      <c r="J50">
        <f t="shared" si="13"/>
        <v>26931.884833802225</v>
      </c>
    </row>
    <row r="51" spans="1:10" x14ac:dyDescent="0.2">
      <c r="A51">
        <v>49</v>
      </c>
      <c r="B51">
        <f t="shared" si="10"/>
        <v>9.9999999999999964</v>
      </c>
      <c r="C51">
        <f t="shared" si="12"/>
        <v>10.399999999999995</v>
      </c>
      <c r="D51">
        <f t="shared" si="14"/>
        <v>33075.945674443326</v>
      </c>
      <c r="E51" s="1">
        <f t="shared" si="17"/>
        <v>33075.945674443326</v>
      </c>
      <c r="F51" s="1">
        <f t="shared" si="17"/>
        <v>32901.225674443325</v>
      </c>
      <c r="G51" s="1">
        <f t="shared" si="17"/>
        <v>32863.625674443327</v>
      </c>
      <c r="H51">
        <f t="shared" si="15"/>
        <v>0.19999999999999929</v>
      </c>
      <c r="I51">
        <f t="shared" si="16"/>
        <v>0.19999999999999929</v>
      </c>
      <c r="J51">
        <f t="shared" si="13"/>
        <v>32856.854836613704</v>
      </c>
    </row>
    <row r="52" spans="1:10" x14ac:dyDescent="0.2">
      <c r="A52">
        <v>50</v>
      </c>
      <c r="B52">
        <f t="shared" si="10"/>
        <v>10.199999999999996</v>
      </c>
      <c r="C52">
        <f t="shared" si="12"/>
        <v>10.599999999999994</v>
      </c>
      <c r="D52">
        <f t="shared" si="14"/>
        <v>40359.557430875779</v>
      </c>
      <c r="E52" s="1">
        <f t="shared" si="17"/>
        <v>40359.557430875779</v>
      </c>
      <c r="F52" s="1">
        <f t="shared" si="17"/>
        <v>40177.237430875779</v>
      </c>
      <c r="G52" s="1">
        <f t="shared" si="17"/>
        <v>40138.837430875777</v>
      </c>
      <c r="H52">
        <f t="shared" si="15"/>
        <v>0.19999999999999929</v>
      </c>
      <c r="I52">
        <f t="shared" si="16"/>
        <v>0.19999999999999929</v>
      </c>
      <c r="J52">
        <f t="shared" si="13"/>
        <v>40091.965181336607</v>
      </c>
    </row>
    <row r="53" spans="1:10" x14ac:dyDescent="0.2">
      <c r="A53">
        <v>51</v>
      </c>
      <c r="B53">
        <f t="shared" si="10"/>
        <v>10.399999999999995</v>
      </c>
      <c r="C53">
        <f t="shared" si="12"/>
        <v>10.799999999999992</v>
      </c>
      <c r="D53">
        <f t="shared" si="14"/>
        <v>49254.081136381748</v>
      </c>
      <c r="E53" s="1">
        <f t="shared" si="17"/>
        <v>49254.081136381748</v>
      </c>
      <c r="F53" s="1">
        <f t="shared" si="17"/>
        <v>49064.001136381747</v>
      </c>
      <c r="G53" s="1">
        <f t="shared" si="17"/>
        <v>49024.80113638175</v>
      </c>
      <c r="H53">
        <f t="shared" si="15"/>
        <v>0.19999999999999929</v>
      </c>
      <c r="I53">
        <f t="shared" si="16"/>
        <v>0.19999999999999929</v>
      </c>
      <c r="J53">
        <f t="shared" si="13"/>
        <v>48927.249128805874</v>
      </c>
    </row>
    <row r="54" spans="1:10" x14ac:dyDescent="0.2">
      <c r="A54">
        <v>52</v>
      </c>
      <c r="B54">
        <f t="shared" si="10"/>
        <v>10.599999999999994</v>
      </c>
      <c r="C54">
        <f t="shared" si="12"/>
        <v>10.933333333333328</v>
      </c>
      <c r="D54">
        <f t="shared" si="14"/>
        <v>56251.7533528942</v>
      </c>
      <c r="E54" s="1">
        <f t="shared" si="17"/>
        <v>60116.141715197817</v>
      </c>
      <c r="F54" s="1">
        <f t="shared" si="17"/>
        <v>59918.141715197817</v>
      </c>
      <c r="G54" s="1">
        <f t="shared" si="17"/>
        <v>59878.141715197817</v>
      </c>
      <c r="H54">
        <f t="shared" si="15"/>
        <v>0.19999999999999929</v>
      </c>
      <c r="I54">
        <f t="shared" si="16"/>
        <v>0</v>
      </c>
      <c r="J54">
        <f t="shared" si="13"/>
        <v>56121.598934184643</v>
      </c>
    </row>
    <row r="55" spans="1:10" x14ac:dyDescent="0.2">
      <c r="A55">
        <v>53</v>
      </c>
      <c r="B55">
        <f t="shared" si="10"/>
        <v>10.799999999999994</v>
      </c>
      <c r="C55">
        <f t="shared" si="12"/>
        <v>10.999999999999993</v>
      </c>
      <c r="D55">
        <f t="shared" si="14"/>
        <v>60116.141715197817</v>
      </c>
      <c r="E55" s="1">
        <f t="shared" si="17"/>
        <v>60116.141715197817</v>
      </c>
      <c r="F55" s="1">
        <f t="shared" si="17"/>
        <v>59918.141715197817</v>
      </c>
      <c r="G55" s="1">
        <f t="shared" si="17"/>
        <v>59878.141715197817</v>
      </c>
      <c r="H55">
        <f t="shared" si="15"/>
        <v>0</v>
      </c>
      <c r="I55">
        <f t="shared" si="16"/>
        <v>0</v>
      </c>
      <c r="J55">
        <f t="shared" si="13"/>
        <v>60116.141715197817</v>
      </c>
    </row>
    <row r="56" spans="1:10" x14ac:dyDescent="0.2">
      <c r="A56">
        <v>54</v>
      </c>
      <c r="B56">
        <f t="shared" si="10"/>
        <v>10.999999999999993</v>
      </c>
      <c r="E56" s="1"/>
      <c r="F56" s="1"/>
      <c r="G56" s="1"/>
    </row>
    <row r="57" spans="1:10" x14ac:dyDescent="0.2">
      <c r="A57">
        <v>55</v>
      </c>
      <c r="B57">
        <f>B56</f>
        <v>10.999999999999993</v>
      </c>
      <c r="E57" s="1"/>
      <c r="F57" s="1"/>
      <c r="G57" s="1"/>
    </row>
    <row r="58" spans="1:10" x14ac:dyDescent="0.2">
      <c r="A58">
        <v>56</v>
      </c>
      <c r="B58">
        <f t="shared" ref="B58:B69" si="18">B57</f>
        <v>10.999999999999993</v>
      </c>
      <c r="E58" s="1"/>
      <c r="F58" s="1"/>
      <c r="G58" s="1"/>
    </row>
    <row r="59" spans="1:10" x14ac:dyDescent="0.2">
      <c r="A59">
        <v>57</v>
      </c>
      <c r="B59">
        <f t="shared" si="18"/>
        <v>10.999999999999993</v>
      </c>
    </row>
    <row r="60" spans="1:10" x14ac:dyDescent="0.2">
      <c r="A60">
        <v>58</v>
      </c>
      <c r="B60">
        <f t="shared" si="18"/>
        <v>10.999999999999993</v>
      </c>
    </row>
    <row r="61" spans="1:10" x14ac:dyDescent="0.2">
      <c r="A61">
        <v>59</v>
      </c>
      <c r="B61">
        <f t="shared" si="18"/>
        <v>10.999999999999993</v>
      </c>
    </row>
    <row r="62" spans="1:10" x14ac:dyDescent="0.2">
      <c r="A62">
        <v>60</v>
      </c>
      <c r="B62">
        <f t="shared" si="18"/>
        <v>10.999999999999993</v>
      </c>
    </row>
    <row r="63" spans="1:10" x14ac:dyDescent="0.2">
      <c r="A63">
        <v>61</v>
      </c>
      <c r="B63">
        <f t="shared" si="18"/>
        <v>10.999999999999993</v>
      </c>
    </row>
    <row r="64" spans="1:10" x14ac:dyDescent="0.2">
      <c r="A64">
        <v>62</v>
      </c>
      <c r="B64">
        <f t="shared" si="18"/>
        <v>10.999999999999993</v>
      </c>
    </row>
    <row r="65" spans="1:2" x14ac:dyDescent="0.2">
      <c r="A65">
        <v>63</v>
      </c>
      <c r="B65">
        <f t="shared" si="18"/>
        <v>10.999999999999993</v>
      </c>
    </row>
    <row r="66" spans="1:2" x14ac:dyDescent="0.2">
      <c r="A66">
        <v>64</v>
      </c>
      <c r="B66">
        <f t="shared" si="18"/>
        <v>10.999999999999993</v>
      </c>
    </row>
    <row r="67" spans="1:2" x14ac:dyDescent="0.2">
      <c r="A67">
        <v>65</v>
      </c>
      <c r="B67">
        <f t="shared" si="18"/>
        <v>10.999999999999993</v>
      </c>
    </row>
    <row r="68" spans="1:2" x14ac:dyDescent="0.2">
      <c r="A68">
        <v>66</v>
      </c>
      <c r="B68">
        <f t="shared" si="18"/>
        <v>10.999999999999993</v>
      </c>
    </row>
    <row r="69" spans="1:2" x14ac:dyDescent="0.2">
      <c r="A69">
        <v>67</v>
      </c>
      <c r="B69">
        <f t="shared" si="18"/>
        <v>10.999999999999993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2BEF9-8A39-477B-B50F-9DCBD3653204}">
  <sheetPr codeName="Sheet2"/>
  <dimension ref="A1:I59"/>
  <sheetViews>
    <sheetView tabSelected="1" workbookViewId="0">
      <selection activeCell="I3" sqref="I3"/>
    </sheetView>
  </sheetViews>
  <sheetFormatPr defaultRowHeight="14.25" x14ac:dyDescent="0.2"/>
  <cols>
    <col min="7" max="7" width="22" bestFit="1" customWidth="1"/>
    <col min="8" max="8" width="16.875" bestFit="1" customWidth="1"/>
    <col min="9" max="9" width="18.75" bestFit="1" customWidth="1"/>
  </cols>
  <sheetData>
    <row r="1" spans="1:9" x14ac:dyDescent="0.2">
      <c r="C1" s="3" t="s">
        <v>12</v>
      </c>
      <c r="D1" s="3" t="s">
        <v>13</v>
      </c>
      <c r="E1" s="3" t="s">
        <v>14</v>
      </c>
      <c r="F1" s="3" t="s">
        <v>15</v>
      </c>
    </row>
    <row r="2" spans="1:9" x14ac:dyDescent="0.2">
      <c r="A2" s="3" t="s">
        <v>11</v>
      </c>
      <c r="B2" s="3" t="s">
        <v>10</v>
      </c>
      <c r="C2">
        <v>1</v>
      </c>
      <c r="D2">
        <v>2</v>
      </c>
      <c r="E2">
        <v>3</v>
      </c>
      <c r="F2">
        <v>4</v>
      </c>
      <c r="G2" t="s">
        <v>9</v>
      </c>
      <c r="H2" s="4" t="s">
        <v>18</v>
      </c>
      <c r="I2">
        <v>3.1</v>
      </c>
    </row>
    <row r="3" spans="1:9" x14ac:dyDescent="0.2">
      <c r="A3">
        <v>1</v>
      </c>
      <c r="B3">
        <f>'Bspline-Coefficients'!B3</f>
        <v>1</v>
      </c>
      <c r="C3">
        <f>IF($B3&lt;=$I$2,IF($B4&gt;$I$2,1,0),0)</f>
        <v>0</v>
      </c>
      <c r="D3">
        <f>IF(AND($A3+D$2&gt;MATCH(1,$C$3:$C$100,0),$A3+D$2&lt;=MATCH(1,$C$3:$C$100,0)+D$2),($I$2-$B3)/($B4-$B3)*C3+($B5-$I$2)/($B5-$B4)*C4,0)</f>
        <v>0</v>
      </c>
      <c r="E3">
        <f>IF(AND($A3+E$2&gt;MATCH(1,$C$3:$C$100,0),$A3+E$2&lt;=MATCH(1,$C$3:$C$100,0)+E$2),($I$2-$B3)/($B5-$B3)*D3+($B6-$I$2)/($B6-$B4)*D4,0)</f>
        <v>0</v>
      </c>
      <c r="F3">
        <f>IF(AND($A3+F$2&gt;MATCH(1,$C$3:$C$100,0),$A3+F$2&lt;=MATCH(1,$C$3:$C$100,0)+F$2),($I$2-$B3)/($B6-$B3)*E3+($B7-$I$2)/($B7-$B4)*E4,0)</f>
        <v>0</v>
      </c>
      <c r="G3" s="9">
        <f>'Bspline-Coefficients'!J3</f>
        <v>4.7182818284590446</v>
      </c>
      <c r="H3" s="4" t="s">
        <v>16</v>
      </c>
      <c r="I3" s="8">
        <f>SUMPRODUCT(F$3:F$100,G$3:G$100)</f>
        <v>41.417363791279641</v>
      </c>
    </row>
    <row r="4" spans="1:9" x14ac:dyDescent="0.2">
      <c r="A4">
        <v>2</v>
      </c>
      <c r="B4">
        <f>'Bspline-Coefficients'!B4</f>
        <v>1</v>
      </c>
      <c r="C4">
        <f t="shared" ref="C4:C55" si="0">IF($B4&lt;=$I$2,IF($B5&gt;$I$2,1,0),0)</f>
        <v>0</v>
      </c>
      <c r="D4">
        <f t="shared" ref="D4:D55" si="1">IF(AND($A4+D$2&gt;MATCH(1,$C$3:$C$100,0),$A4+D$2&lt;=MATCH(1,$C$3:$C$100,0)+D$2),($I$2-$B4)/($B5-$B4)*C4+($B6-$I$2)/($B6-$B5)*C5,0)</f>
        <v>0</v>
      </c>
      <c r="E4">
        <f t="shared" ref="E4:E55" si="2">IF(AND($A4+E$2&gt;MATCH(1,$C$3:$C$100,0),$A4+E$2&lt;=MATCH(1,$C$3:$C$100,0)+E$2),($I$2-$B4)/($B6-$B4)*D4+($B7-$I$2)/($B7-$B5)*D5,0)</f>
        <v>0</v>
      </c>
      <c r="F4">
        <f t="shared" ref="F4:F55" si="3">IF(AND($A4+F$2&gt;MATCH(1,$C$3:$C$100,0),$A4+F$2&lt;=MATCH(1,$C$3:$C$100,0)+F$2),($I$2-$B4)/($B7-$B4)*E4+($B8-$I$2)/($B8-$B5)*E5,0)</f>
        <v>0</v>
      </c>
      <c r="G4" s="9">
        <f>'Bspline-Coefficients'!J4</f>
        <v>5.1661672836896475</v>
      </c>
      <c r="H4" s="4" t="str">
        <f>'Bspline-Coefficients'!E1</f>
        <v>f=exp(xv)+2*xv*xv</v>
      </c>
      <c r="I4">
        <f>evalFun($H$4,I2,"xv")</f>
        <v>41.417951281441638</v>
      </c>
    </row>
    <row r="5" spans="1:9" x14ac:dyDescent="0.2">
      <c r="A5">
        <v>3</v>
      </c>
      <c r="B5">
        <f>'Bspline-Coefficients'!B5</f>
        <v>1</v>
      </c>
      <c r="C5">
        <f t="shared" si="0"/>
        <v>0</v>
      </c>
      <c r="D5">
        <f t="shared" si="1"/>
        <v>0</v>
      </c>
      <c r="E5">
        <f t="shared" si="2"/>
        <v>0</v>
      </c>
      <c r="F5">
        <f t="shared" si="3"/>
        <v>0</v>
      </c>
      <c r="G5" s="9">
        <f>'Bspline-Coefficients'!J5</f>
        <v>6.1513161432516368</v>
      </c>
    </row>
    <row r="6" spans="1:9" x14ac:dyDescent="0.2">
      <c r="A6">
        <v>4</v>
      </c>
      <c r="B6">
        <f>'Bspline-Coefficients'!B6</f>
        <v>1</v>
      </c>
      <c r="C6">
        <f t="shared" si="0"/>
        <v>0</v>
      </c>
      <c r="D6">
        <f t="shared" si="1"/>
        <v>0</v>
      </c>
      <c r="E6">
        <f t="shared" si="2"/>
        <v>0</v>
      </c>
      <c r="F6">
        <f t="shared" si="3"/>
        <v>0</v>
      </c>
      <c r="G6" s="9">
        <f>'Bspline-Coefficients'!J6</f>
        <v>7.9214986337323756</v>
      </c>
    </row>
    <row r="7" spans="1:9" x14ac:dyDescent="0.2">
      <c r="A7">
        <v>5</v>
      </c>
      <c r="B7">
        <f>'Bspline-Coefficients'!B7</f>
        <v>1.2</v>
      </c>
      <c r="C7">
        <f t="shared" si="0"/>
        <v>0</v>
      </c>
      <c r="D7">
        <f t="shared" si="1"/>
        <v>0</v>
      </c>
      <c r="E7">
        <f t="shared" si="2"/>
        <v>0</v>
      </c>
      <c r="F7">
        <f t="shared" si="3"/>
        <v>0</v>
      </c>
      <c r="G7" s="9">
        <f>'Bspline-Coefficients'!J7</f>
        <v>10.013345541565815</v>
      </c>
    </row>
    <row r="8" spans="1:9" x14ac:dyDescent="0.2">
      <c r="A8">
        <v>6</v>
      </c>
      <c r="B8">
        <f>'Bspline-Coefficients'!B8</f>
        <v>1.4</v>
      </c>
      <c r="C8">
        <f t="shared" si="0"/>
        <v>0</v>
      </c>
      <c r="D8">
        <f t="shared" si="1"/>
        <v>0</v>
      </c>
      <c r="E8">
        <f t="shared" si="2"/>
        <v>0</v>
      </c>
      <c r="F8">
        <f t="shared" si="3"/>
        <v>0</v>
      </c>
      <c r="G8" s="9">
        <f>'Bspline-Coefficients'!J8</f>
        <v>12.462649814650193</v>
      </c>
    </row>
    <row r="9" spans="1:9" x14ac:dyDescent="0.2">
      <c r="A9">
        <v>7</v>
      </c>
      <c r="B9">
        <f>'Bspline-Coefficients'!B9</f>
        <v>1.5999999999999999</v>
      </c>
      <c r="C9">
        <f t="shared" si="0"/>
        <v>0</v>
      </c>
      <c r="D9">
        <f t="shared" si="1"/>
        <v>0</v>
      </c>
      <c r="E9">
        <f t="shared" si="2"/>
        <v>0</v>
      </c>
      <c r="F9">
        <f t="shared" si="3"/>
        <v>0</v>
      </c>
      <c r="G9" s="9">
        <f>'Bspline-Coefficients'!J9</f>
        <v>15.313129058271112</v>
      </c>
    </row>
    <row r="10" spans="1:9" x14ac:dyDescent="0.2">
      <c r="A10">
        <v>8</v>
      </c>
      <c r="B10">
        <f>'Bspline-Coefficients'!B10</f>
        <v>1.7999999999999998</v>
      </c>
      <c r="C10">
        <f t="shared" si="0"/>
        <v>0</v>
      </c>
      <c r="D10">
        <f t="shared" si="1"/>
        <v>0</v>
      </c>
      <c r="E10">
        <f t="shared" si="2"/>
        <v>0</v>
      </c>
      <c r="F10">
        <f t="shared" si="3"/>
        <v>0</v>
      </c>
      <c r="G10" s="9">
        <f>'Bspline-Coefficients'!J10</f>
        <v>18.618180076104561</v>
      </c>
    </row>
    <row r="11" spans="1:9" x14ac:dyDescent="0.2">
      <c r="A11">
        <v>9</v>
      </c>
      <c r="B11">
        <f>'Bspline-Coefficients'!B11</f>
        <v>1.9999999999999998</v>
      </c>
      <c r="C11">
        <f t="shared" si="0"/>
        <v>0</v>
      </c>
      <c r="D11">
        <f t="shared" si="1"/>
        <v>0</v>
      </c>
      <c r="E11">
        <f t="shared" si="2"/>
        <v>0</v>
      </c>
      <c r="F11">
        <f t="shared" si="3"/>
        <v>0</v>
      </c>
      <c r="G11" s="9">
        <f>'Bspline-Coefficients'!J11</f>
        <v>22.443021871437324</v>
      </c>
    </row>
    <row r="12" spans="1:9" x14ac:dyDescent="0.2">
      <c r="A12">
        <v>10</v>
      </c>
      <c r="B12">
        <f>'Bspline-Coefficients'!B12</f>
        <v>2.1999999999999997</v>
      </c>
      <c r="C12">
        <f t="shared" si="0"/>
        <v>0</v>
      </c>
      <c r="D12">
        <f t="shared" si="1"/>
        <v>0</v>
      </c>
      <c r="E12">
        <f t="shared" si="2"/>
        <v>0</v>
      </c>
      <c r="F12">
        <f t="shared" si="3"/>
        <v>0</v>
      </c>
      <c r="G12" s="9">
        <f>'Bspline-Coefficients'!J12</f>
        <v>26.867313114768347</v>
      </c>
    </row>
    <row r="13" spans="1:9" x14ac:dyDescent="0.2">
      <c r="A13">
        <v>11</v>
      </c>
      <c r="B13">
        <f>'Bspline-Coefficients'!B13</f>
        <v>2.4</v>
      </c>
      <c r="C13">
        <f t="shared" si="0"/>
        <v>0</v>
      </c>
      <c r="D13">
        <f t="shared" si="1"/>
        <v>0</v>
      </c>
      <c r="E13">
        <f t="shared" si="2"/>
        <v>0</v>
      </c>
      <c r="F13">
        <f t="shared" si="3"/>
        <v>2.083333333333361E-2</v>
      </c>
      <c r="G13" s="9">
        <f>'Bspline-Coefficients'!J13</f>
        <v>31.9883491259564</v>
      </c>
    </row>
    <row r="14" spans="1:9" x14ac:dyDescent="0.2">
      <c r="A14">
        <v>12</v>
      </c>
      <c r="B14">
        <f>'Bspline-Coefficients'!B14</f>
        <v>2.6</v>
      </c>
      <c r="C14">
        <f t="shared" si="0"/>
        <v>0</v>
      </c>
      <c r="D14">
        <f t="shared" si="1"/>
        <v>0</v>
      </c>
      <c r="E14">
        <f t="shared" si="2"/>
        <v>0.12500000000000111</v>
      </c>
      <c r="F14">
        <f t="shared" si="3"/>
        <v>0.47916666666666807</v>
      </c>
      <c r="G14" s="9">
        <f>'Bspline-Coefficients'!J14</f>
        <v>37.924966677033083</v>
      </c>
    </row>
    <row r="15" spans="1:9" x14ac:dyDescent="0.2">
      <c r="A15">
        <v>13</v>
      </c>
      <c r="B15">
        <f>'Bspline-Coefficients'!B15</f>
        <v>2.8000000000000003</v>
      </c>
      <c r="C15">
        <f t="shared" si="0"/>
        <v>0</v>
      </c>
      <c r="D15">
        <f t="shared" si="1"/>
        <v>0.50000000000000222</v>
      </c>
      <c r="E15">
        <f t="shared" si="2"/>
        <v>0.75</v>
      </c>
      <c r="F15">
        <f t="shared" si="3"/>
        <v>0.4791666666666653</v>
      </c>
      <c r="G15" s="9">
        <f>'Bspline-Coefficients'!J15</f>
        <v>44.822313329128626</v>
      </c>
    </row>
    <row r="16" spans="1:9" x14ac:dyDescent="0.2">
      <c r="A16">
        <v>14</v>
      </c>
      <c r="B16">
        <f>'Bspline-Coefficients'!B16</f>
        <v>3.0000000000000004</v>
      </c>
      <c r="C16">
        <f t="shared" si="0"/>
        <v>1</v>
      </c>
      <c r="D16">
        <f t="shared" si="1"/>
        <v>0.49999999999999778</v>
      </c>
      <c r="E16">
        <f t="shared" si="2"/>
        <v>0.12499999999999889</v>
      </c>
      <c r="F16">
        <f t="shared" si="3"/>
        <v>2.0833333333333058E-2</v>
      </c>
      <c r="G16" s="9">
        <f>'Bspline-Coefficients'!J16</f>
        <v>52.857672713747696</v>
      </c>
    </row>
    <row r="17" spans="1:7" x14ac:dyDescent="0.2">
      <c r="A17">
        <v>15</v>
      </c>
      <c r="B17">
        <f>'Bspline-Coefficients'!B17</f>
        <v>3.2000000000000006</v>
      </c>
      <c r="C17">
        <f t="shared" si="0"/>
        <v>0</v>
      </c>
      <c r="D17">
        <f t="shared" si="1"/>
        <v>0</v>
      </c>
      <c r="E17">
        <f t="shared" si="2"/>
        <v>0</v>
      </c>
      <c r="F17">
        <f t="shared" si="3"/>
        <v>0</v>
      </c>
      <c r="G17" s="9">
        <f>'Bspline-Coefficients'!J17</f>
        <v>62.247579547386806</v>
      </c>
    </row>
    <row r="18" spans="1:7" x14ac:dyDescent="0.2">
      <c r="A18">
        <v>16</v>
      </c>
      <c r="B18">
        <f>'Bspline-Coefficients'!B18</f>
        <v>3.4000000000000008</v>
      </c>
      <c r="C18">
        <f t="shared" si="0"/>
        <v>0</v>
      </c>
      <c r="D18">
        <f t="shared" si="1"/>
        <v>0</v>
      </c>
      <c r="E18">
        <f t="shared" si="2"/>
        <v>0</v>
      </c>
      <c r="F18">
        <f t="shared" si="3"/>
        <v>0</v>
      </c>
      <c r="G18" s="9">
        <f>'Bspline-Coefficients'!J18</f>
        <v>73.256509930012129</v>
      </c>
    </row>
    <row r="19" spans="1:7" x14ac:dyDescent="0.2">
      <c r="A19">
        <v>17</v>
      </c>
      <c r="B19">
        <f>'Bspline-Coefficients'!B19</f>
        <v>3.600000000000001</v>
      </c>
      <c r="C19">
        <f t="shared" si="0"/>
        <v>0</v>
      </c>
      <c r="D19">
        <f t="shared" si="1"/>
        <v>0</v>
      </c>
      <c r="E19">
        <f t="shared" si="2"/>
        <v>0</v>
      </c>
      <c r="F19">
        <f t="shared" si="3"/>
        <v>0</v>
      </c>
      <c r="G19" s="9">
        <f>'Bspline-Coefficients'!J19</f>
        <v>86.207495699589956</v>
      </c>
    </row>
    <row r="20" spans="1:7" x14ac:dyDescent="0.2">
      <c r="A20">
        <v>18</v>
      </c>
      <c r="B20">
        <f>'Bspline-Coefficients'!B20</f>
        <v>3.8000000000000012</v>
      </c>
      <c r="C20">
        <f t="shared" si="0"/>
        <v>0</v>
      </c>
      <c r="D20">
        <f t="shared" si="1"/>
        <v>0</v>
      </c>
      <c r="E20">
        <f t="shared" si="2"/>
        <v>0</v>
      </c>
      <c r="F20">
        <f t="shared" si="3"/>
        <v>0</v>
      </c>
      <c r="G20" s="9">
        <f>'Bspline-Coefficients'!J20</f>
        <v>101.49508883398565</v>
      </c>
    </row>
    <row r="21" spans="1:7" x14ac:dyDescent="0.2">
      <c r="A21">
        <v>19</v>
      </c>
      <c r="B21">
        <f>'Bspline-Coefficients'!B21</f>
        <v>4.0000000000000009</v>
      </c>
      <c r="C21">
        <f t="shared" si="0"/>
        <v>0</v>
      </c>
      <c r="D21">
        <f t="shared" si="1"/>
        <v>0</v>
      </c>
      <c r="E21">
        <f t="shared" si="2"/>
        <v>0</v>
      </c>
      <c r="F21">
        <f t="shared" si="3"/>
        <v>0</v>
      </c>
      <c r="G21" s="9">
        <f>'Bspline-Coefficients'!J21</f>
        <v>119.60119620720168</v>
      </c>
    </row>
    <row r="22" spans="1:7" x14ac:dyDescent="0.2">
      <c r="A22">
        <v>20</v>
      </c>
      <c r="B22">
        <f>'Bspline-Coefficients'!B22</f>
        <v>4.2000000000000011</v>
      </c>
      <c r="C22">
        <f t="shared" si="0"/>
        <v>0</v>
      </c>
      <c r="D22">
        <f t="shared" si="1"/>
        <v>0</v>
      </c>
      <c r="E22">
        <f t="shared" si="2"/>
        <v>0</v>
      </c>
      <c r="F22">
        <f t="shared" si="3"/>
        <v>0</v>
      </c>
      <c r="G22" s="9">
        <f>'Bspline-Coefficients'!J22</f>
        <v>141.11442020432088</v>
      </c>
    </row>
    <row r="23" spans="1:7" x14ac:dyDescent="0.2">
      <c r="A23">
        <v>21</v>
      </c>
      <c r="B23">
        <f>'Bspline-Coefficients'!B23</f>
        <v>4.4000000000000012</v>
      </c>
      <c r="C23">
        <f t="shared" si="0"/>
        <v>0</v>
      </c>
      <c r="D23">
        <f t="shared" si="1"/>
        <v>0</v>
      </c>
      <c r="E23">
        <f t="shared" si="2"/>
        <v>0</v>
      </c>
      <c r="F23">
        <f t="shared" si="3"/>
        <v>0</v>
      </c>
      <c r="G23" s="9">
        <f>'Bspline-Coefficients'!J23</f>
        <v>166.75368140194328</v>
      </c>
    </row>
    <row r="24" spans="1:7" x14ac:dyDescent="0.2">
      <c r="A24">
        <v>22</v>
      </c>
      <c r="B24">
        <f>'Bspline-Coefficients'!B24</f>
        <v>4.6000000000000014</v>
      </c>
      <c r="C24">
        <f t="shared" si="0"/>
        <v>0</v>
      </c>
      <c r="D24">
        <f t="shared" si="1"/>
        <v>0</v>
      </c>
      <c r="E24">
        <f t="shared" si="2"/>
        <v>0</v>
      </c>
      <c r="F24">
        <f t="shared" si="3"/>
        <v>0</v>
      </c>
      <c r="G24" s="9">
        <f>'Bspline-Coefficients'!J24</f>
        <v>197.39707137522609</v>
      </c>
    </row>
    <row r="25" spans="1:7" x14ac:dyDescent="0.2">
      <c r="A25">
        <v>23</v>
      </c>
      <c r="B25">
        <f>'Bspline-Coefficients'!B25</f>
        <v>4.8000000000000016</v>
      </c>
      <c r="C25">
        <f t="shared" si="0"/>
        <v>0</v>
      </c>
      <c r="D25">
        <f t="shared" si="1"/>
        <v>0</v>
      </c>
      <c r="E25">
        <f t="shared" si="2"/>
        <v>0</v>
      </c>
      <c r="F25">
        <f t="shared" si="3"/>
        <v>0</v>
      </c>
      <c r="G25" s="9">
        <f>'Bspline-Coefficients'!J25</f>
        <v>234.11709359598356</v>
      </c>
    </row>
    <row r="26" spans="1:7" x14ac:dyDescent="0.2">
      <c r="A26">
        <v>24</v>
      </c>
      <c r="B26">
        <f>'Bspline-Coefficients'!B26</f>
        <v>5.0000000000000018</v>
      </c>
      <c r="C26">
        <f t="shared" si="0"/>
        <v>0</v>
      </c>
      <c r="D26">
        <f t="shared" si="1"/>
        <v>0</v>
      </c>
      <c r="E26">
        <f t="shared" si="2"/>
        <v>0</v>
      </c>
      <c r="F26">
        <f t="shared" si="3"/>
        <v>0</v>
      </c>
      <c r="G26" s="9">
        <f>'Bspline-Coefficients'!J26</f>
        <v>278.22370676282588</v>
      </c>
    </row>
    <row r="27" spans="1:7" x14ac:dyDescent="0.2">
      <c r="A27">
        <v>25</v>
      </c>
      <c r="B27">
        <f>'Bspline-Coefficients'!B27</f>
        <v>5.200000000000002</v>
      </c>
      <c r="C27">
        <f t="shared" si="0"/>
        <v>0</v>
      </c>
      <c r="D27">
        <f t="shared" si="1"/>
        <v>0</v>
      </c>
      <c r="E27">
        <f t="shared" si="2"/>
        <v>0</v>
      </c>
      <c r="F27">
        <f t="shared" si="3"/>
        <v>0</v>
      </c>
      <c r="G27" s="9">
        <f>'Bspline-Coefficients'!J27</f>
        <v>331.31689804331148</v>
      </c>
    </row>
    <row r="28" spans="1:7" x14ac:dyDescent="0.2">
      <c r="A28">
        <v>26</v>
      </c>
      <c r="B28">
        <f>'Bspline-Coefficients'!B28</f>
        <v>5.4000000000000021</v>
      </c>
      <c r="C28">
        <f t="shared" si="0"/>
        <v>0</v>
      </c>
      <c r="D28">
        <f t="shared" si="1"/>
        <v>0</v>
      </c>
      <c r="E28">
        <f t="shared" si="2"/>
        <v>0</v>
      </c>
      <c r="F28">
        <f t="shared" si="3"/>
        <v>0</v>
      </c>
      <c r="G28" s="9">
        <f>'Bspline-Coefficients'!J28</f>
        <v>395.35089617691767</v>
      </c>
    </row>
    <row r="29" spans="1:7" x14ac:dyDescent="0.2">
      <c r="A29">
        <v>27</v>
      </c>
      <c r="B29">
        <f>'Bspline-Coefficients'!B29</f>
        <v>5.6000000000000023</v>
      </c>
      <c r="C29">
        <f t="shared" si="0"/>
        <v>0</v>
      </c>
      <c r="D29">
        <f t="shared" si="1"/>
        <v>0</v>
      </c>
      <c r="E29">
        <f t="shared" si="2"/>
        <v>0</v>
      </c>
      <c r="F29">
        <f t="shared" si="3"/>
        <v>0</v>
      </c>
      <c r="G29" s="9">
        <f>'Bspline-Coefficients'!J29</f>
        <v>472.71260153611689</v>
      </c>
    </row>
    <row r="30" spans="1:7" x14ac:dyDescent="0.2">
      <c r="A30">
        <v>28</v>
      </c>
      <c r="B30">
        <f>'Bspline-Coefficients'!B30</f>
        <v>5.8000000000000025</v>
      </c>
      <c r="C30">
        <f t="shared" si="0"/>
        <v>0</v>
      </c>
      <c r="D30">
        <f t="shared" si="1"/>
        <v>0</v>
      </c>
      <c r="E30">
        <f t="shared" si="2"/>
        <v>0</v>
      </c>
      <c r="F30">
        <f t="shared" si="3"/>
        <v>0</v>
      </c>
      <c r="G30" s="9">
        <f>'Bspline-Coefficients'!J30</f>
        <v>566.31738081930132</v>
      </c>
    </row>
    <row r="31" spans="1:7" x14ac:dyDescent="0.2">
      <c r="A31">
        <v>29</v>
      </c>
      <c r="B31">
        <f>'Bspline-Coefficients'!B31</f>
        <v>6.0000000000000027</v>
      </c>
      <c r="C31">
        <f t="shared" si="0"/>
        <v>0</v>
      </c>
      <c r="D31">
        <f t="shared" si="1"/>
        <v>0</v>
      </c>
      <c r="E31">
        <f t="shared" si="2"/>
        <v>0</v>
      </c>
      <c r="F31">
        <f t="shared" si="3"/>
        <v>0</v>
      </c>
      <c r="G31" s="9">
        <f>'Bspline-Coefficients'!J31</f>
        <v>679.72607095293506</v>
      </c>
    </row>
    <row r="32" spans="1:7" x14ac:dyDescent="0.2">
      <c r="A32">
        <v>30</v>
      </c>
      <c r="B32">
        <f>'Bspline-Coefficients'!B32</f>
        <v>6.2000000000000028</v>
      </c>
      <c r="C32">
        <f t="shared" si="0"/>
        <v>0</v>
      </c>
      <c r="D32">
        <f t="shared" si="1"/>
        <v>0</v>
      </c>
      <c r="E32">
        <f t="shared" si="2"/>
        <v>0</v>
      </c>
      <c r="F32">
        <f t="shared" si="3"/>
        <v>0</v>
      </c>
      <c r="G32" s="9">
        <f>'Bspline-Coefficients'!J32</f>
        <v>817.28788798035953</v>
      </c>
    </row>
    <row r="33" spans="1:7" x14ac:dyDescent="0.2">
      <c r="A33">
        <v>31</v>
      </c>
      <c r="B33">
        <f>'Bspline-Coefficients'!B33</f>
        <v>6.400000000000003</v>
      </c>
      <c r="C33">
        <f t="shared" si="0"/>
        <v>0</v>
      </c>
      <c r="D33">
        <f t="shared" si="1"/>
        <v>0</v>
      </c>
      <c r="E33">
        <f t="shared" si="2"/>
        <v>0</v>
      </c>
      <c r="F33">
        <f t="shared" si="3"/>
        <v>0</v>
      </c>
      <c r="G33" s="9">
        <f>'Bspline-Coefficients'!J33</f>
        <v>984.31497637274811</v>
      </c>
    </row>
    <row r="34" spans="1:7" x14ac:dyDescent="0.2">
      <c r="A34">
        <v>32</v>
      </c>
      <c r="B34">
        <f>'Bspline-Coefficients'!B34</f>
        <v>6.6000000000000032</v>
      </c>
      <c r="C34">
        <f t="shared" si="0"/>
        <v>0</v>
      </c>
      <c r="D34">
        <f t="shared" si="1"/>
        <v>0</v>
      </c>
      <c r="E34">
        <f t="shared" si="2"/>
        <v>0</v>
      </c>
      <c r="F34">
        <f t="shared" si="3"/>
        <v>0</v>
      </c>
      <c r="G34" s="9">
        <f>'Bspline-Coefficients'!J34</f>
        <v>1187.2956040389354</v>
      </c>
    </row>
    <row r="35" spans="1:7" x14ac:dyDescent="0.2">
      <c r="A35">
        <v>33</v>
      </c>
      <c r="B35">
        <f>'Bspline-Coefficients'!B35</f>
        <v>6.8000000000000034</v>
      </c>
      <c r="C35">
        <f t="shared" si="0"/>
        <v>0</v>
      </c>
      <c r="D35">
        <f t="shared" si="1"/>
        <v>0</v>
      </c>
      <c r="E35">
        <f t="shared" si="2"/>
        <v>0</v>
      </c>
      <c r="F35">
        <f t="shared" si="3"/>
        <v>0</v>
      </c>
      <c r="G35" s="9">
        <f>'Bspline-Coefficients'!J35</f>
        <v>1434.1545592984553</v>
      </c>
    </row>
    <row r="36" spans="1:7" x14ac:dyDescent="0.2">
      <c r="A36">
        <v>34</v>
      </c>
      <c r="B36">
        <f>'Bspline-Coefficients'!B36</f>
        <v>7.0000000000000036</v>
      </c>
      <c r="C36">
        <f t="shared" si="0"/>
        <v>0</v>
      </c>
      <c r="D36">
        <f t="shared" si="1"/>
        <v>0</v>
      </c>
      <c r="E36">
        <f t="shared" si="2"/>
        <v>0</v>
      </c>
      <c r="F36">
        <f t="shared" si="3"/>
        <v>0</v>
      </c>
      <c r="G36" s="9">
        <f>'Bspline-Coefficients'!J36</f>
        <v>1734.5712004626207</v>
      </c>
    </row>
    <row r="37" spans="1:7" x14ac:dyDescent="0.2">
      <c r="A37">
        <v>35</v>
      </c>
      <c r="B37">
        <f>'Bspline-Coefficients'!B37</f>
        <v>7.2000000000000037</v>
      </c>
      <c r="C37">
        <f t="shared" si="0"/>
        <v>0</v>
      </c>
      <c r="D37">
        <f t="shared" si="1"/>
        <v>0</v>
      </c>
      <c r="E37">
        <f t="shared" si="2"/>
        <v>0</v>
      </c>
      <c r="F37">
        <f t="shared" si="3"/>
        <v>0</v>
      </c>
      <c r="G37" s="9">
        <f>'Bspline-Coefficients'!J37</f>
        <v>2100.36792247009</v>
      </c>
    </row>
    <row r="38" spans="1:7" x14ac:dyDescent="0.2">
      <c r="A38">
        <v>36</v>
      </c>
      <c r="B38">
        <f>'Bspline-Coefficients'!B38</f>
        <v>7.4000000000000039</v>
      </c>
      <c r="C38">
        <f t="shared" si="0"/>
        <v>0</v>
      </c>
      <c r="D38">
        <f t="shared" si="1"/>
        <v>0</v>
      </c>
      <c r="E38">
        <f t="shared" si="2"/>
        <v>0</v>
      </c>
      <c r="F38">
        <f t="shared" si="3"/>
        <v>0</v>
      </c>
      <c r="G38" s="9">
        <f>'Bspline-Coefficients'!J38</f>
        <v>2545.984631107001</v>
      </c>
    </row>
    <row r="39" spans="1:7" x14ac:dyDescent="0.2">
      <c r="A39">
        <v>37</v>
      </c>
      <c r="B39">
        <f>'Bspline-Coefficients'!B39</f>
        <v>7.6000000000000041</v>
      </c>
      <c r="C39">
        <f t="shared" si="0"/>
        <v>0</v>
      </c>
      <c r="D39">
        <f t="shared" si="1"/>
        <v>0</v>
      </c>
      <c r="E39">
        <f t="shared" si="2"/>
        <v>0</v>
      </c>
      <c r="F39">
        <f t="shared" si="3"/>
        <v>0</v>
      </c>
      <c r="G39" s="9">
        <f>'Bspline-Coefficients'!J39</f>
        <v>3089.0582671281168</v>
      </c>
    </row>
    <row r="40" spans="1:7" x14ac:dyDescent="0.2">
      <c r="A40">
        <v>38</v>
      </c>
      <c r="B40">
        <f>'Bspline-Coefficients'!B40</f>
        <v>7.8000000000000043</v>
      </c>
      <c r="C40">
        <f t="shared" si="0"/>
        <v>0</v>
      </c>
      <c r="D40">
        <f t="shared" si="1"/>
        <v>0</v>
      </c>
      <c r="E40">
        <f t="shared" si="2"/>
        <v>0</v>
      </c>
      <c r="F40">
        <f t="shared" si="3"/>
        <v>0</v>
      </c>
      <c r="G40" s="9">
        <f>'Bspline-Coefficients'!J40</f>
        <v>3751.1306386168035</v>
      </c>
    </row>
    <row r="41" spans="1:7" x14ac:dyDescent="0.2">
      <c r="A41">
        <v>39</v>
      </c>
      <c r="B41">
        <f>'Bspline-Coefficients'!B41</f>
        <v>8.0000000000000036</v>
      </c>
      <c r="C41">
        <f t="shared" si="0"/>
        <v>0</v>
      </c>
      <c r="D41">
        <f t="shared" si="1"/>
        <v>0</v>
      </c>
      <c r="E41">
        <f t="shared" si="2"/>
        <v>0</v>
      </c>
      <c r="F41">
        <f t="shared" si="3"/>
        <v>0</v>
      </c>
      <c r="G41" s="9">
        <f>'Bspline-Coefficients'!J41</f>
        <v>4558.512969381859</v>
      </c>
    </row>
    <row r="42" spans="1:7" x14ac:dyDescent="0.2">
      <c r="A42">
        <v>40</v>
      </c>
      <c r="B42">
        <f>'Bspline-Coefficients'!B42</f>
        <v>8.2000000000000028</v>
      </c>
      <c r="C42">
        <f t="shared" si="0"/>
        <v>0</v>
      </c>
      <c r="D42">
        <f t="shared" si="1"/>
        <v>0</v>
      </c>
      <c r="E42">
        <f t="shared" si="2"/>
        <v>0</v>
      </c>
      <c r="F42">
        <f t="shared" si="3"/>
        <v>0</v>
      </c>
      <c r="G42" s="9">
        <f>'Bspline-Coefficients'!J42</f>
        <v>5543.3418607538915</v>
      </c>
    </row>
    <row r="43" spans="1:7" x14ac:dyDescent="0.2">
      <c r="A43">
        <v>41</v>
      </c>
      <c r="B43">
        <f>'Bspline-Coefficients'!B43</f>
        <v>8.4000000000000021</v>
      </c>
      <c r="C43">
        <f t="shared" si="0"/>
        <v>0</v>
      </c>
      <c r="D43">
        <f t="shared" si="1"/>
        <v>0</v>
      </c>
      <c r="E43">
        <f t="shared" si="2"/>
        <v>0</v>
      </c>
      <c r="F43">
        <f t="shared" si="3"/>
        <v>0</v>
      </c>
      <c r="G43" s="9">
        <f>'Bspline-Coefficients'!J43</f>
        <v>6744.8690462360373</v>
      </c>
    </row>
    <row r="44" spans="1:7" x14ac:dyDescent="0.2">
      <c r="A44">
        <v>42</v>
      </c>
      <c r="B44">
        <f>'Bspline-Coefficients'!B44</f>
        <v>8.6000000000000014</v>
      </c>
      <c r="C44">
        <f t="shared" si="0"/>
        <v>0</v>
      </c>
      <c r="D44">
        <f t="shared" si="1"/>
        <v>0</v>
      </c>
      <c r="E44">
        <f t="shared" si="2"/>
        <v>0</v>
      </c>
      <c r="F44">
        <f t="shared" si="3"/>
        <v>0</v>
      </c>
      <c r="G44" s="9">
        <f>'Bspline-Coefficients'!J44</f>
        <v>8211.0367013915493</v>
      </c>
    </row>
    <row r="45" spans="1:7" x14ac:dyDescent="0.2">
      <c r="A45">
        <v>43</v>
      </c>
      <c r="B45">
        <f>'Bspline-Coefficients'!B45</f>
        <v>8.8000000000000007</v>
      </c>
      <c r="C45">
        <f t="shared" si="0"/>
        <v>0</v>
      </c>
      <c r="D45">
        <f t="shared" si="1"/>
        <v>0</v>
      </c>
      <c r="E45">
        <f t="shared" si="2"/>
        <v>0</v>
      </c>
      <c r="F45">
        <f t="shared" si="3"/>
        <v>0</v>
      </c>
      <c r="G45" s="9">
        <f>'Bspline-Coefficients'!J45</f>
        <v>10000.401531685617</v>
      </c>
    </row>
    <row r="46" spans="1:7" x14ac:dyDescent="0.2">
      <c r="A46">
        <v>44</v>
      </c>
      <c r="B46">
        <f>'Bspline-Coefficients'!B46</f>
        <v>9</v>
      </c>
      <c r="C46">
        <f t="shared" si="0"/>
        <v>0</v>
      </c>
      <c r="D46">
        <f t="shared" si="1"/>
        <v>0</v>
      </c>
      <c r="E46">
        <f t="shared" si="2"/>
        <v>0</v>
      </c>
      <c r="F46">
        <f t="shared" si="3"/>
        <v>0</v>
      </c>
      <c r="G46" s="9">
        <f>'Bspline-Coefficients'!J46</f>
        <v>12184.484858682208</v>
      </c>
    </row>
    <row r="47" spans="1:7" x14ac:dyDescent="0.2">
      <c r="A47">
        <v>45</v>
      </c>
      <c r="B47">
        <f>'Bspline-Coefficients'!B47</f>
        <v>9.1999999999999993</v>
      </c>
      <c r="C47">
        <f t="shared" si="0"/>
        <v>0</v>
      </c>
      <c r="D47">
        <f t="shared" si="1"/>
        <v>0</v>
      </c>
      <c r="E47">
        <f t="shared" si="2"/>
        <v>0</v>
      </c>
      <c r="F47">
        <f t="shared" si="3"/>
        <v>0</v>
      </c>
      <c r="G47" s="9">
        <f>'Bspline-Coefficients'!J47</f>
        <v>14850.643021806753</v>
      </c>
    </row>
    <row r="48" spans="1:7" x14ac:dyDescent="0.2">
      <c r="A48">
        <v>46</v>
      </c>
      <c r="B48">
        <f>'Bspline-Coefficients'!B48</f>
        <v>9.3999999999999986</v>
      </c>
      <c r="C48">
        <f t="shared" si="0"/>
        <v>0</v>
      </c>
      <c r="D48">
        <f t="shared" si="1"/>
        <v>0</v>
      </c>
      <c r="E48">
        <f t="shared" si="2"/>
        <v>0</v>
      </c>
      <c r="F48">
        <f t="shared" si="3"/>
        <v>0</v>
      </c>
      <c r="G48" s="9">
        <f>'Bspline-Coefficients'!J48</f>
        <v>18105.573294976337</v>
      </c>
    </row>
    <row r="49" spans="1:7" x14ac:dyDescent="0.2">
      <c r="A49">
        <v>47</v>
      </c>
      <c r="B49">
        <f>'Bspline-Coefficients'!B49</f>
        <v>9.5999999999999979</v>
      </c>
      <c r="C49">
        <f t="shared" si="0"/>
        <v>0</v>
      </c>
      <c r="D49">
        <f t="shared" si="1"/>
        <v>0</v>
      </c>
      <c r="E49">
        <f t="shared" si="2"/>
        <v>0</v>
      </c>
      <c r="F49">
        <f t="shared" si="3"/>
        <v>0</v>
      </c>
      <c r="G49" s="9">
        <f>'Bspline-Coefficients'!J49</f>
        <v>22079.596022841342</v>
      </c>
    </row>
    <row r="50" spans="1:7" x14ac:dyDescent="0.2">
      <c r="A50">
        <v>48</v>
      </c>
      <c r="B50">
        <f>'Bspline-Coefficients'!B50</f>
        <v>9.7999999999999972</v>
      </c>
      <c r="C50">
        <f t="shared" si="0"/>
        <v>0</v>
      </c>
      <c r="D50">
        <f t="shared" si="1"/>
        <v>0</v>
      </c>
      <c r="E50">
        <f t="shared" si="2"/>
        <v>0</v>
      </c>
      <c r="F50">
        <f t="shared" si="3"/>
        <v>0</v>
      </c>
      <c r="G50" s="9">
        <f>'Bspline-Coefficients'!J50</f>
        <v>26931.884833802225</v>
      </c>
    </row>
    <row r="51" spans="1:7" x14ac:dyDescent="0.2">
      <c r="A51">
        <v>49</v>
      </c>
      <c r="B51">
        <f>'Bspline-Coefficients'!B51</f>
        <v>9.9999999999999964</v>
      </c>
      <c r="C51">
        <f t="shared" si="0"/>
        <v>0</v>
      </c>
      <c r="D51">
        <f t="shared" si="1"/>
        <v>0</v>
      </c>
      <c r="E51">
        <f t="shared" si="2"/>
        <v>0</v>
      </c>
      <c r="F51">
        <f t="shared" si="3"/>
        <v>0</v>
      </c>
      <c r="G51" s="9">
        <f>'Bspline-Coefficients'!J51</f>
        <v>32856.854836613704</v>
      </c>
    </row>
    <row r="52" spans="1:7" x14ac:dyDescent="0.2">
      <c r="A52">
        <v>50</v>
      </c>
      <c r="B52">
        <f>'Bspline-Coefficients'!B52</f>
        <v>10.199999999999996</v>
      </c>
      <c r="C52">
        <f t="shared" si="0"/>
        <v>0</v>
      </c>
      <c r="D52">
        <f t="shared" si="1"/>
        <v>0</v>
      </c>
      <c r="E52">
        <f t="shared" si="2"/>
        <v>0</v>
      </c>
      <c r="F52">
        <f t="shared" si="3"/>
        <v>0</v>
      </c>
      <c r="G52" s="9">
        <f>'Bspline-Coefficients'!J52</f>
        <v>40091.965181336607</v>
      </c>
    </row>
    <row r="53" spans="1:7" x14ac:dyDescent="0.2">
      <c r="A53">
        <v>51</v>
      </c>
      <c r="B53">
        <f>'Bspline-Coefficients'!B53</f>
        <v>10.399999999999995</v>
      </c>
      <c r="C53">
        <f t="shared" si="0"/>
        <v>0</v>
      </c>
      <c r="D53">
        <f t="shared" si="1"/>
        <v>0</v>
      </c>
      <c r="E53">
        <f t="shared" si="2"/>
        <v>0</v>
      </c>
      <c r="F53">
        <f t="shared" si="3"/>
        <v>0</v>
      </c>
      <c r="G53" s="9">
        <f>'Bspline-Coefficients'!J53</f>
        <v>48927.249128805874</v>
      </c>
    </row>
    <row r="54" spans="1:7" x14ac:dyDescent="0.2">
      <c r="A54">
        <v>52</v>
      </c>
      <c r="B54">
        <f>'Bspline-Coefficients'!B54</f>
        <v>10.599999999999994</v>
      </c>
      <c r="C54">
        <f t="shared" si="0"/>
        <v>0</v>
      </c>
      <c r="D54">
        <f t="shared" si="1"/>
        <v>0</v>
      </c>
      <c r="E54">
        <f t="shared" si="2"/>
        <v>0</v>
      </c>
      <c r="F54">
        <f t="shared" si="3"/>
        <v>0</v>
      </c>
      <c r="G54" s="9">
        <f>'Bspline-Coefficients'!J54</f>
        <v>56121.598934184643</v>
      </c>
    </row>
    <row r="55" spans="1:7" x14ac:dyDescent="0.2">
      <c r="A55">
        <v>53</v>
      </c>
      <c r="B55">
        <f>'Bspline-Coefficients'!B55</f>
        <v>10.799999999999994</v>
      </c>
      <c r="C55">
        <f t="shared" si="0"/>
        <v>0</v>
      </c>
      <c r="D55">
        <f t="shared" si="1"/>
        <v>0</v>
      </c>
      <c r="E55">
        <f t="shared" si="2"/>
        <v>0</v>
      </c>
      <c r="F55">
        <f t="shared" si="3"/>
        <v>0</v>
      </c>
      <c r="G55" s="9">
        <f>'Bspline-Coefficients'!J55</f>
        <v>60116.141715197817</v>
      </c>
    </row>
    <row r="56" spans="1:7" x14ac:dyDescent="0.2">
      <c r="A56">
        <v>54</v>
      </c>
      <c r="B56">
        <f>'Bspline-Coefficients'!B56</f>
        <v>10.999999999999993</v>
      </c>
      <c r="G56" s="9">
        <f>G55</f>
        <v>60116.141715197817</v>
      </c>
    </row>
    <row r="57" spans="1:7" x14ac:dyDescent="0.2">
      <c r="A57">
        <v>55</v>
      </c>
      <c r="B57">
        <f>'Bspline-Coefficients'!B57</f>
        <v>10.999999999999993</v>
      </c>
      <c r="G57" s="9">
        <f t="shared" ref="G57:G59" si="4">G56</f>
        <v>60116.141715197817</v>
      </c>
    </row>
    <row r="58" spans="1:7" x14ac:dyDescent="0.2">
      <c r="A58">
        <v>56</v>
      </c>
      <c r="B58">
        <f>'Bspline-Coefficients'!B58</f>
        <v>10.999999999999993</v>
      </c>
      <c r="G58" s="9">
        <f t="shared" si="4"/>
        <v>60116.141715197817</v>
      </c>
    </row>
    <row r="59" spans="1:7" x14ac:dyDescent="0.2">
      <c r="A59">
        <v>57</v>
      </c>
      <c r="B59">
        <f>'Bspline-Coefficients'!B59</f>
        <v>10.999999999999993</v>
      </c>
      <c r="G59" s="9">
        <f t="shared" si="4"/>
        <v>60116.141715197817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A7AB-0D2C-4CAB-A77D-F41C35D412AF}">
  <dimension ref="AP1:CT71"/>
  <sheetViews>
    <sheetView topLeftCell="CM1" workbookViewId="0">
      <selection activeCell="AP1" sqref="AP1:CT1"/>
    </sheetView>
  </sheetViews>
  <sheetFormatPr defaultRowHeight="14.25" x14ac:dyDescent="0.2"/>
  <cols>
    <col min="42" max="45" width="14.25" bestFit="1" customWidth="1"/>
    <col min="46" max="58" width="15.375" bestFit="1" customWidth="1"/>
    <col min="59" max="72" width="16.5" bestFit="1" customWidth="1"/>
    <col min="73" max="83" width="17.625" bestFit="1" customWidth="1"/>
    <col min="84" max="98" width="18.75" bestFit="1" customWidth="1"/>
  </cols>
  <sheetData>
    <row r="1" spans="42:98" s="7" customFormat="1" x14ac:dyDescent="0.2">
      <c r="AP1" s="7">
        <v>4.7182818284590446</v>
      </c>
      <c r="AQ1" s="7">
        <v>5.1661672836896475</v>
      </c>
      <c r="AR1" s="7">
        <v>6.1513161432516368</v>
      </c>
      <c r="AS1" s="7">
        <v>7.9214986337323756</v>
      </c>
      <c r="AT1" s="7">
        <v>10.013345541565815</v>
      </c>
      <c r="AU1" s="7">
        <v>12.462649814650193</v>
      </c>
      <c r="AV1" s="7">
        <v>15.313129058271112</v>
      </c>
      <c r="AW1" s="7">
        <v>18.618180076104561</v>
      </c>
      <c r="AX1" s="7">
        <v>22.443021871437324</v>
      </c>
      <c r="AY1" s="7">
        <v>26.867313114768347</v>
      </c>
      <c r="AZ1" s="7">
        <v>31.9883491259564</v>
      </c>
      <c r="BA1" s="7">
        <v>37.924966677033083</v>
      </c>
      <c r="BB1" s="7">
        <v>44.822313329128626</v>
      </c>
      <c r="BC1" s="7">
        <v>52.857672713747696</v>
      </c>
      <c r="BD1" s="7">
        <v>62.247579547386806</v>
      </c>
      <c r="BE1" s="7">
        <v>73.256509930012129</v>
      </c>
      <c r="BF1" s="7">
        <v>86.207495699589956</v>
      </c>
      <c r="BG1" s="7">
        <v>101.49508883398565</v>
      </c>
      <c r="BH1" s="7">
        <v>119.60119620720168</v>
      </c>
      <c r="BI1" s="7">
        <v>141.11442020432088</v>
      </c>
      <c r="BJ1" s="7">
        <v>166.75368140194328</v>
      </c>
      <c r="BK1" s="7">
        <v>197.39707137522609</v>
      </c>
      <c r="BL1" s="7">
        <v>234.11709359598356</v>
      </c>
      <c r="BM1" s="7">
        <v>278.22370676282588</v>
      </c>
      <c r="BN1" s="7">
        <v>331.31689804331148</v>
      </c>
      <c r="BO1" s="7">
        <v>395.35089617691767</v>
      </c>
      <c r="BP1" s="7">
        <v>472.71260153611689</v>
      </c>
      <c r="BQ1" s="7">
        <v>566.31738081930132</v>
      </c>
      <c r="BR1" s="7">
        <v>679.72607095293506</v>
      </c>
      <c r="BS1" s="7">
        <v>817.28788798035953</v>
      </c>
      <c r="BT1" s="7">
        <v>984.31497637274811</v>
      </c>
      <c r="BU1" s="7">
        <v>1187.2956040389354</v>
      </c>
      <c r="BV1" s="7">
        <v>1434.1545592984553</v>
      </c>
      <c r="BW1" s="7">
        <v>1734.5712004626207</v>
      </c>
      <c r="BX1" s="7">
        <v>2100.36792247009</v>
      </c>
      <c r="BY1" s="7">
        <v>2545.984631107001</v>
      </c>
      <c r="BZ1" s="7">
        <v>3089.0582671281168</v>
      </c>
      <c r="CA1" s="7">
        <v>3751.1306386168035</v>
      </c>
      <c r="CB1" s="7">
        <v>4558.512969381859</v>
      </c>
      <c r="CC1" s="7">
        <v>5543.3418607538915</v>
      </c>
      <c r="CD1" s="7">
        <v>6744.8690462360373</v>
      </c>
      <c r="CE1" s="7">
        <v>8211.0367013915493</v>
      </c>
      <c r="CF1" s="7">
        <v>10000.401531685617</v>
      </c>
      <c r="CG1" s="7">
        <v>12184.484858682208</v>
      </c>
      <c r="CH1" s="7">
        <v>14850.643021806753</v>
      </c>
      <c r="CI1" s="7">
        <v>18105.573294976337</v>
      </c>
      <c r="CJ1" s="7">
        <v>22079.596022841342</v>
      </c>
      <c r="CK1" s="7">
        <v>26931.884833802225</v>
      </c>
      <c r="CL1" s="7">
        <v>32856.854836613704</v>
      </c>
      <c r="CM1" s="7">
        <v>40091.965181336607</v>
      </c>
      <c r="CN1" s="7">
        <v>48927.249128805874</v>
      </c>
      <c r="CO1" s="7">
        <v>56121.598934184643</v>
      </c>
      <c r="CP1" s="7">
        <v>60116.141715197817</v>
      </c>
      <c r="CQ1" s="7">
        <v>60116.141715197817</v>
      </c>
      <c r="CR1" s="7">
        <v>60116.141715197817</v>
      </c>
      <c r="CS1" s="7">
        <v>60116.141715197817</v>
      </c>
      <c r="CT1" s="7">
        <v>60116.141715197817</v>
      </c>
    </row>
    <row r="15" spans="42:98" x14ac:dyDescent="0.2">
      <c r="AP15">
        <v>4.7182818284590446</v>
      </c>
    </row>
    <row r="16" spans="42:98" x14ac:dyDescent="0.2">
      <c r="AP16">
        <v>5.1661672836896475</v>
      </c>
    </row>
    <row r="17" spans="42:42" x14ac:dyDescent="0.2">
      <c r="AP17">
        <v>6.1513161432516368</v>
      </c>
    </row>
    <row r="18" spans="42:42" x14ac:dyDescent="0.2">
      <c r="AP18">
        <v>7.9214986337323756</v>
      </c>
    </row>
    <row r="19" spans="42:42" x14ac:dyDescent="0.2">
      <c r="AP19">
        <v>10.013345541565815</v>
      </c>
    </row>
    <row r="20" spans="42:42" x14ac:dyDescent="0.2">
      <c r="AP20">
        <v>12.462649814650193</v>
      </c>
    </row>
    <row r="21" spans="42:42" x14ac:dyDescent="0.2">
      <c r="AP21">
        <v>15.313129058271112</v>
      </c>
    </row>
    <row r="22" spans="42:42" x14ac:dyDescent="0.2">
      <c r="AP22">
        <v>18.618180076104561</v>
      </c>
    </row>
    <row r="23" spans="42:42" x14ac:dyDescent="0.2">
      <c r="AP23">
        <v>22.443021871437324</v>
      </c>
    </row>
    <row r="24" spans="42:42" x14ac:dyDescent="0.2">
      <c r="AP24">
        <v>26.867313114768347</v>
      </c>
    </row>
    <row r="25" spans="42:42" x14ac:dyDescent="0.2">
      <c r="AP25">
        <v>31.9883491259564</v>
      </c>
    </row>
    <row r="26" spans="42:42" x14ac:dyDescent="0.2">
      <c r="AP26">
        <v>37.924966677033083</v>
      </c>
    </row>
    <row r="27" spans="42:42" x14ac:dyDescent="0.2">
      <c r="AP27">
        <v>44.822313329128626</v>
      </c>
    </row>
    <row r="28" spans="42:42" x14ac:dyDescent="0.2">
      <c r="AP28">
        <v>52.857672713747696</v>
      </c>
    </row>
    <row r="29" spans="42:42" x14ac:dyDescent="0.2">
      <c r="AP29">
        <v>62.247579547386806</v>
      </c>
    </row>
    <row r="30" spans="42:42" x14ac:dyDescent="0.2">
      <c r="AP30">
        <v>73.256509930012129</v>
      </c>
    </row>
    <row r="31" spans="42:42" x14ac:dyDescent="0.2">
      <c r="AP31">
        <v>86.207495699589956</v>
      </c>
    </row>
    <row r="32" spans="42:42" x14ac:dyDescent="0.2">
      <c r="AP32">
        <v>101.49508883398565</v>
      </c>
    </row>
    <row r="33" spans="42:42" x14ac:dyDescent="0.2">
      <c r="AP33">
        <v>119.60119620720168</v>
      </c>
    </row>
    <row r="34" spans="42:42" x14ac:dyDescent="0.2">
      <c r="AP34">
        <v>141.11442020432088</v>
      </c>
    </row>
    <row r="35" spans="42:42" x14ac:dyDescent="0.2">
      <c r="AP35">
        <v>166.75368140194328</v>
      </c>
    </row>
    <row r="36" spans="42:42" x14ac:dyDescent="0.2">
      <c r="AP36">
        <v>197.39707137522609</v>
      </c>
    </row>
    <row r="37" spans="42:42" x14ac:dyDescent="0.2">
      <c r="AP37">
        <v>234.11709359598356</v>
      </c>
    </row>
    <row r="38" spans="42:42" x14ac:dyDescent="0.2">
      <c r="AP38">
        <v>278.22370676282588</v>
      </c>
    </row>
    <row r="39" spans="42:42" x14ac:dyDescent="0.2">
      <c r="AP39">
        <v>331.31689804331148</v>
      </c>
    </row>
    <row r="40" spans="42:42" x14ac:dyDescent="0.2">
      <c r="AP40">
        <v>395.35089617691767</v>
      </c>
    </row>
    <row r="41" spans="42:42" x14ac:dyDescent="0.2">
      <c r="AP41">
        <v>472.71260153611689</v>
      </c>
    </row>
    <row r="42" spans="42:42" x14ac:dyDescent="0.2">
      <c r="AP42">
        <v>566.31738081930132</v>
      </c>
    </row>
    <row r="43" spans="42:42" x14ac:dyDescent="0.2">
      <c r="AP43">
        <v>679.72607095293506</v>
      </c>
    </row>
    <row r="44" spans="42:42" x14ac:dyDescent="0.2">
      <c r="AP44">
        <v>817.28788798035953</v>
      </c>
    </row>
    <row r="45" spans="42:42" x14ac:dyDescent="0.2">
      <c r="AP45">
        <v>984.31497637274811</v>
      </c>
    </row>
    <row r="46" spans="42:42" x14ac:dyDescent="0.2">
      <c r="AP46">
        <v>1187.2956040389354</v>
      </c>
    </row>
    <row r="47" spans="42:42" x14ac:dyDescent="0.2">
      <c r="AP47">
        <v>1434.1545592984553</v>
      </c>
    </row>
    <row r="48" spans="42:42" x14ac:dyDescent="0.2">
      <c r="AP48">
        <v>1734.5712004626207</v>
      </c>
    </row>
    <row r="49" spans="42:42" x14ac:dyDescent="0.2">
      <c r="AP49">
        <v>2100.36792247009</v>
      </c>
    </row>
    <row r="50" spans="42:42" x14ac:dyDescent="0.2">
      <c r="AP50">
        <v>2545.984631107001</v>
      </c>
    </row>
    <row r="51" spans="42:42" x14ac:dyDescent="0.2">
      <c r="AP51">
        <v>3089.0582671281168</v>
      </c>
    </row>
    <row r="52" spans="42:42" x14ac:dyDescent="0.2">
      <c r="AP52">
        <v>3751.1306386168035</v>
      </c>
    </row>
    <row r="53" spans="42:42" x14ac:dyDescent="0.2">
      <c r="AP53">
        <v>4558.512969381859</v>
      </c>
    </row>
    <row r="54" spans="42:42" x14ac:dyDescent="0.2">
      <c r="AP54">
        <v>5543.3418607538915</v>
      </c>
    </row>
    <row r="55" spans="42:42" x14ac:dyDescent="0.2">
      <c r="AP55">
        <v>6744.8690462360373</v>
      </c>
    </row>
    <row r="56" spans="42:42" x14ac:dyDescent="0.2">
      <c r="AP56">
        <v>8211.0367013915493</v>
      </c>
    </row>
    <row r="57" spans="42:42" x14ac:dyDescent="0.2">
      <c r="AP57">
        <v>10000.401531685617</v>
      </c>
    </row>
    <row r="58" spans="42:42" x14ac:dyDescent="0.2">
      <c r="AP58">
        <v>12184.484858682208</v>
      </c>
    </row>
    <row r="59" spans="42:42" x14ac:dyDescent="0.2">
      <c r="AP59">
        <v>14850.643021806753</v>
      </c>
    </row>
    <row r="60" spans="42:42" x14ac:dyDescent="0.2">
      <c r="AP60">
        <v>18105.573294976337</v>
      </c>
    </row>
    <row r="61" spans="42:42" x14ac:dyDescent="0.2">
      <c r="AP61">
        <v>22079.596022841342</v>
      </c>
    </row>
    <row r="62" spans="42:42" x14ac:dyDescent="0.2">
      <c r="AP62">
        <v>26931.884833802225</v>
      </c>
    </row>
    <row r="63" spans="42:42" x14ac:dyDescent="0.2">
      <c r="AP63">
        <v>32856.854836613704</v>
      </c>
    </row>
    <row r="64" spans="42:42" x14ac:dyDescent="0.2">
      <c r="AP64">
        <v>40091.965181336607</v>
      </c>
    </row>
    <row r="65" spans="42:42" x14ac:dyDescent="0.2">
      <c r="AP65">
        <v>48927.249128805874</v>
      </c>
    </row>
    <row r="66" spans="42:42" x14ac:dyDescent="0.2">
      <c r="AP66">
        <v>56121.598934184643</v>
      </c>
    </row>
    <row r="67" spans="42:42" x14ac:dyDescent="0.2">
      <c r="AP67">
        <v>60116.141715197817</v>
      </c>
    </row>
    <row r="68" spans="42:42" x14ac:dyDescent="0.2">
      <c r="AP68">
        <v>60116.141715197817</v>
      </c>
    </row>
    <row r="69" spans="42:42" x14ac:dyDescent="0.2">
      <c r="AP69">
        <v>60116.141715197817</v>
      </c>
    </row>
    <row r="70" spans="42:42" x14ac:dyDescent="0.2">
      <c r="AP70">
        <v>60116.141715197817</v>
      </c>
    </row>
    <row r="71" spans="42:42" x14ac:dyDescent="0.2">
      <c r="AP71">
        <v>60116.141715197817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Bspline-Coefficients</vt:lpstr>
      <vt:lpstr>calcBSpline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2018-12-28T05:59:52Z</dcterms:modified>
</cp:coreProperties>
</file>